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IB\Term 3\FSA\"/>
    </mc:Choice>
  </mc:AlternateContent>
  <xr:revisionPtr revIDLastSave="0" documentId="13_ncr:1_{9DEE85C7-AA0F-465B-8710-3F8C2A582F5A}" xr6:coauthVersionLast="47" xr6:coauthVersionMax="47" xr10:uidLastSave="{00000000-0000-0000-0000-000000000000}"/>
  <bookViews>
    <workbookView xWindow="-108" yWindow="-108" windowWidth="23256" windowHeight="12456" firstSheet="6" activeTab="10" xr2:uid="{D36F6F4C-A550-4A32-97A1-6586752E622F}"/>
  </bookViews>
  <sheets>
    <sheet name="BS ITC" sheetId="1" r:id="rId1"/>
    <sheet name="P&amp;L ITC" sheetId="2" r:id="rId2"/>
    <sheet name="BS  HUL" sheetId="3" r:id="rId3"/>
    <sheet name="P&amp;L HUL" sheetId="4" r:id="rId4"/>
    <sheet name="BS DABUR IND" sheetId="5" r:id="rId5"/>
    <sheet name="P&amp;L DABUR IND " sheetId="6" r:id="rId6"/>
    <sheet name="BS BRITANNIA " sheetId="7" r:id="rId7"/>
    <sheet name="P&amp;L BRITANNIA" sheetId="8" r:id="rId8"/>
    <sheet name="ROE ROA ITC HUL" sheetId="10" r:id="rId9"/>
    <sheet name="ROE ROA DABUR BRITANNIA" sheetId="9" r:id="rId10"/>
    <sheet name="Comparision" sheetId="11" r:id="rId11"/>
    <sheet name="Interpretation" sheetId="12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8" i="11" l="1"/>
  <c r="F28" i="11"/>
  <c r="E28" i="11"/>
  <c r="D28" i="11"/>
  <c r="C28" i="11"/>
  <c r="B28" i="11"/>
  <c r="G28" i="11" s="1"/>
  <c r="A29" i="11"/>
  <c r="F29" i="11"/>
  <c r="E29" i="11"/>
  <c r="D29" i="11"/>
  <c r="C29" i="11"/>
  <c r="B29" i="11"/>
  <c r="A30" i="11"/>
  <c r="F30" i="11"/>
  <c r="E30" i="11"/>
  <c r="D30" i="11"/>
  <c r="C30" i="11"/>
  <c r="B30" i="11"/>
  <c r="G30" i="11" s="1"/>
  <c r="A19" i="11"/>
  <c r="F19" i="11"/>
  <c r="E19" i="11"/>
  <c r="D19" i="11"/>
  <c r="C19" i="11"/>
  <c r="B19" i="11"/>
  <c r="A20" i="11"/>
  <c r="F20" i="11"/>
  <c r="E20" i="11"/>
  <c r="D20" i="11"/>
  <c r="C20" i="11"/>
  <c r="B20" i="11"/>
  <c r="G20" i="11" s="1"/>
  <c r="A21" i="11"/>
  <c r="F21" i="11"/>
  <c r="E21" i="11"/>
  <c r="D21" i="11"/>
  <c r="C21" i="11"/>
  <c r="B21" i="11"/>
  <c r="A22" i="11"/>
  <c r="F22" i="11"/>
  <c r="E22" i="11"/>
  <c r="D22" i="11"/>
  <c r="C22" i="11"/>
  <c r="B22" i="11"/>
  <c r="G22" i="11" s="1"/>
  <c r="A23" i="11"/>
  <c r="F23" i="11"/>
  <c r="E23" i="11"/>
  <c r="D23" i="11"/>
  <c r="C23" i="11"/>
  <c r="B23" i="11"/>
  <c r="A24" i="11"/>
  <c r="F24" i="11"/>
  <c r="E24" i="11"/>
  <c r="D24" i="11"/>
  <c r="C24" i="11"/>
  <c r="B24" i="11"/>
  <c r="E13" i="11"/>
  <c r="D13" i="11"/>
  <c r="C13" i="11"/>
  <c r="B13" i="11"/>
  <c r="E14" i="11"/>
  <c r="D14" i="11"/>
  <c r="C14" i="11"/>
  <c r="B14" i="11"/>
  <c r="F14" i="11"/>
  <c r="F13" i="11"/>
  <c r="E12" i="11"/>
  <c r="D12" i="11"/>
  <c r="C12" i="11"/>
  <c r="B12" i="11"/>
  <c r="F12" i="11"/>
  <c r="G12" i="11" s="1"/>
  <c r="E11" i="11"/>
  <c r="D11" i="11"/>
  <c r="C11" i="11"/>
  <c r="B11" i="11"/>
  <c r="F11" i="11"/>
  <c r="E4" i="11"/>
  <c r="D4" i="11"/>
  <c r="C4" i="11"/>
  <c r="B4" i="11"/>
  <c r="G4" i="11" s="1"/>
  <c r="E5" i="11"/>
  <c r="D5" i="11"/>
  <c r="C5" i="11"/>
  <c r="B5" i="11"/>
  <c r="G5" i="11" s="1"/>
  <c r="E6" i="11"/>
  <c r="D6" i="11"/>
  <c r="G6" i="11" s="1"/>
  <c r="C6" i="11"/>
  <c r="B6" i="11"/>
  <c r="E7" i="11"/>
  <c r="D7" i="11"/>
  <c r="C7" i="11"/>
  <c r="B7" i="11"/>
  <c r="G7" i="11" s="1"/>
  <c r="F7" i="11"/>
  <c r="F6" i="11"/>
  <c r="F5" i="11"/>
  <c r="F4" i="11"/>
  <c r="M8" i="9"/>
  <c r="M16" i="9" s="1"/>
  <c r="N8" i="9"/>
  <c r="N16" i="9" s="1"/>
  <c r="O8" i="9"/>
  <c r="P8" i="9"/>
  <c r="L8" i="9"/>
  <c r="M7" i="9"/>
  <c r="N7" i="9"/>
  <c r="O7" i="9"/>
  <c r="O15" i="9" s="1"/>
  <c r="P7" i="9"/>
  <c r="P16" i="9" s="1"/>
  <c r="L7" i="9"/>
  <c r="M6" i="9"/>
  <c r="N6" i="9"/>
  <c r="N13" i="9" s="1"/>
  <c r="O6" i="9"/>
  <c r="O14" i="9" s="1"/>
  <c r="P6" i="9"/>
  <c r="P14" i="9" s="1"/>
  <c r="L6" i="9"/>
  <c r="M5" i="9"/>
  <c r="N5" i="9"/>
  <c r="O5" i="9"/>
  <c r="P5" i="9"/>
  <c r="L5" i="9"/>
  <c r="L13" i="9" s="1"/>
  <c r="M4" i="9"/>
  <c r="N4" i="9"/>
  <c r="O4" i="9"/>
  <c r="P4" i="9"/>
  <c r="L4" i="9"/>
  <c r="M3" i="9"/>
  <c r="M15" i="9" s="1"/>
  <c r="N3" i="9"/>
  <c r="O3" i="9"/>
  <c r="P3" i="9"/>
  <c r="L3" i="9"/>
  <c r="L14" i="9" s="1"/>
  <c r="D8" i="9"/>
  <c r="E8" i="9"/>
  <c r="F8" i="9"/>
  <c r="G8" i="9"/>
  <c r="C8" i="9"/>
  <c r="C16" i="9" s="1"/>
  <c r="D7" i="9"/>
  <c r="E7" i="9"/>
  <c r="F7" i="9"/>
  <c r="G7" i="9"/>
  <c r="C7" i="9"/>
  <c r="D6" i="9"/>
  <c r="E6" i="9"/>
  <c r="F6" i="9"/>
  <c r="G6" i="9"/>
  <c r="C6" i="9"/>
  <c r="D5" i="9"/>
  <c r="E5" i="9"/>
  <c r="F5" i="9"/>
  <c r="G5" i="9"/>
  <c r="C5" i="9"/>
  <c r="C13" i="9" s="1"/>
  <c r="D4" i="9"/>
  <c r="E4" i="9"/>
  <c r="F4" i="9"/>
  <c r="F12" i="9" s="1"/>
  <c r="G4" i="9"/>
  <c r="G12" i="9" s="1"/>
  <c r="C4" i="9"/>
  <c r="D3" i="9"/>
  <c r="E3" i="9"/>
  <c r="E15" i="9" s="1"/>
  <c r="F3" i="9"/>
  <c r="F15" i="9" s="1"/>
  <c r="G3" i="9"/>
  <c r="G22" i="9" s="1"/>
  <c r="C3" i="9"/>
  <c r="C14" i="9" s="1"/>
  <c r="D13" i="9"/>
  <c r="G13" i="9"/>
  <c r="D22" i="9"/>
  <c r="F16" i="9"/>
  <c r="D14" i="9"/>
  <c r="E14" i="9"/>
  <c r="F14" i="9"/>
  <c r="G14" i="9"/>
  <c r="D15" i="9"/>
  <c r="G16" i="9"/>
  <c r="F22" i="9"/>
  <c r="M23" i="10"/>
  <c r="N23" i="10"/>
  <c r="O23" i="10"/>
  <c r="P23" i="10"/>
  <c r="L23" i="10"/>
  <c r="M22" i="10"/>
  <c r="N22" i="10"/>
  <c r="O22" i="10"/>
  <c r="P22" i="10"/>
  <c r="L22" i="10"/>
  <c r="M21" i="10"/>
  <c r="N21" i="10"/>
  <c r="O21" i="10"/>
  <c r="P21" i="10"/>
  <c r="L21" i="10"/>
  <c r="M17" i="10"/>
  <c r="N17" i="10"/>
  <c r="O17" i="10"/>
  <c r="P17" i="10"/>
  <c r="L17" i="10"/>
  <c r="M16" i="10"/>
  <c r="N16" i="10"/>
  <c r="O16" i="10"/>
  <c r="P16" i="10"/>
  <c r="L16" i="10"/>
  <c r="M15" i="10"/>
  <c r="N15" i="10"/>
  <c r="O15" i="10"/>
  <c r="P15" i="10"/>
  <c r="L15" i="10"/>
  <c r="M14" i="10"/>
  <c r="N14" i="10"/>
  <c r="O14" i="10"/>
  <c r="P14" i="10"/>
  <c r="L14" i="10"/>
  <c r="M13" i="10"/>
  <c r="N13" i="10"/>
  <c r="O13" i="10"/>
  <c r="P13" i="10"/>
  <c r="L13" i="10"/>
  <c r="M12" i="10"/>
  <c r="N12" i="10"/>
  <c r="O12" i="10"/>
  <c r="P12" i="10"/>
  <c r="L12" i="10"/>
  <c r="M8" i="10"/>
  <c r="N8" i="10"/>
  <c r="O8" i="10"/>
  <c r="P8" i="10"/>
  <c r="L8" i="10"/>
  <c r="M7" i="10"/>
  <c r="N7" i="10"/>
  <c r="O7" i="10"/>
  <c r="P7" i="10"/>
  <c r="L7" i="10"/>
  <c r="M6" i="10"/>
  <c r="N6" i="10"/>
  <c r="O6" i="10"/>
  <c r="P6" i="10"/>
  <c r="L6" i="10"/>
  <c r="M5" i="10"/>
  <c r="N5" i="10"/>
  <c r="O5" i="10"/>
  <c r="P5" i="10"/>
  <c r="L5" i="10"/>
  <c r="M4" i="10"/>
  <c r="N4" i="10"/>
  <c r="O4" i="10"/>
  <c r="P4" i="10"/>
  <c r="L4" i="10"/>
  <c r="M3" i="10"/>
  <c r="N3" i="10"/>
  <c r="O3" i="10"/>
  <c r="P3" i="10"/>
  <c r="L3" i="10"/>
  <c r="D23" i="10"/>
  <c r="E23" i="10"/>
  <c r="F23" i="10"/>
  <c r="G23" i="10"/>
  <c r="C23" i="10"/>
  <c r="D22" i="10"/>
  <c r="E22" i="10"/>
  <c r="F22" i="10"/>
  <c r="G22" i="10"/>
  <c r="C22" i="10"/>
  <c r="D21" i="10"/>
  <c r="E21" i="10"/>
  <c r="F21" i="10"/>
  <c r="G21" i="10"/>
  <c r="C21" i="10"/>
  <c r="D3" i="10"/>
  <c r="E3" i="10"/>
  <c r="F3" i="10"/>
  <c r="G3" i="10"/>
  <c r="G15" i="10" s="1"/>
  <c r="C3" i="10"/>
  <c r="F17" i="10"/>
  <c r="D16" i="10"/>
  <c r="E16" i="10"/>
  <c r="F16" i="10"/>
  <c r="G16" i="10"/>
  <c r="C16" i="10"/>
  <c r="D15" i="10"/>
  <c r="E15" i="10"/>
  <c r="F15" i="10"/>
  <c r="C15" i="10"/>
  <c r="D14" i="10"/>
  <c r="D17" i="10" s="1"/>
  <c r="E14" i="10"/>
  <c r="E17" i="10" s="1"/>
  <c r="F14" i="10"/>
  <c r="C14" i="10"/>
  <c r="C17" i="10" s="1"/>
  <c r="D13" i="10"/>
  <c r="E13" i="10"/>
  <c r="F13" i="10"/>
  <c r="G13" i="10"/>
  <c r="C13" i="10"/>
  <c r="D12" i="10"/>
  <c r="E12" i="10"/>
  <c r="F12" i="10"/>
  <c r="G12" i="10"/>
  <c r="C12" i="10"/>
  <c r="D8" i="10"/>
  <c r="E8" i="10"/>
  <c r="F8" i="10"/>
  <c r="G8" i="10"/>
  <c r="C8" i="10"/>
  <c r="D7" i="10"/>
  <c r="E7" i="10"/>
  <c r="F7" i="10"/>
  <c r="G7" i="10"/>
  <c r="C7" i="10"/>
  <c r="D6" i="10"/>
  <c r="E6" i="10"/>
  <c r="F6" i="10"/>
  <c r="G6" i="10"/>
  <c r="C6" i="10"/>
  <c r="D5" i="10"/>
  <c r="E5" i="10"/>
  <c r="F5" i="10"/>
  <c r="G5" i="10"/>
  <c r="C5" i="10"/>
  <c r="D4" i="10"/>
  <c r="E4" i="10"/>
  <c r="F4" i="10"/>
  <c r="G4" i="10"/>
  <c r="C4" i="10"/>
  <c r="G13" i="11" l="1"/>
  <c r="G24" i="11"/>
  <c r="G14" i="11"/>
  <c r="G23" i="11"/>
  <c r="G21" i="11"/>
  <c r="G19" i="11"/>
  <c r="G29" i="11"/>
  <c r="G11" i="11"/>
  <c r="L16" i="9"/>
  <c r="P15" i="9"/>
  <c r="O16" i="9"/>
  <c r="O17" i="9" s="1"/>
  <c r="O13" i="9"/>
  <c r="M13" i="9"/>
  <c r="N14" i="9"/>
  <c r="P12" i="9"/>
  <c r="O12" i="9"/>
  <c r="L12" i="9"/>
  <c r="M14" i="9"/>
  <c r="M21" i="9"/>
  <c r="N21" i="9"/>
  <c r="M22" i="9"/>
  <c r="N15" i="9"/>
  <c r="L15" i="9"/>
  <c r="L17" i="9" s="1"/>
  <c r="L21" i="9"/>
  <c r="P13" i="9"/>
  <c r="O21" i="9"/>
  <c r="P21" i="9"/>
  <c r="L22" i="9"/>
  <c r="L23" i="9" s="1"/>
  <c r="M12" i="9"/>
  <c r="N22" i="9"/>
  <c r="N23" i="9" s="1"/>
  <c r="N12" i="9"/>
  <c r="O22" i="9"/>
  <c r="P22" i="9"/>
  <c r="E13" i="9"/>
  <c r="F13" i="9"/>
  <c r="F17" i="9" s="1"/>
  <c r="E12" i="9"/>
  <c r="G21" i="9"/>
  <c r="C12" i="9"/>
  <c r="F21" i="9"/>
  <c r="F23" i="9" s="1"/>
  <c r="G15" i="9"/>
  <c r="G17" i="9" s="1"/>
  <c r="E22" i="9"/>
  <c r="C15" i="9"/>
  <c r="D16" i="9"/>
  <c r="C22" i="9"/>
  <c r="D12" i="9"/>
  <c r="E16" i="9"/>
  <c r="G23" i="9"/>
  <c r="E21" i="9"/>
  <c r="C21" i="9"/>
  <c r="D21" i="9"/>
  <c r="D23" i="9" s="1"/>
  <c r="G14" i="10"/>
  <c r="G17" i="10" s="1"/>
  <c r="P23" i="9" l="1"/>
  <c r="O23" i="9"/>
  <c r="P17" i="9"/>
  <c r="N17" i="9"/>
  <c r="M17" i="9"/>
  <c r="M23" i="9"/>
  <c r="D17" i="9"/>
  <c r="C23" i="9"/>
  <c r="E17" i="9"/>
  <c r="C17" i="9"/>
  <c r="E23" i="9"/>
</calcChain>
</file>

<file path=xl/sharedStrings.xml><?xml version="1.0" encoding="utf-8"?>
<sst xmlns="http://schemas.openxmlformats.org/spreadsheetml/2006/main" count="551" uniqueCount="154">
  <si>
    <t>Balance Sheet of ITC (in Rs. Cr.)</t>
  </si>
  <si>
    <t>EQUITIES AND LIABILITIES</t>
  </si>
  <si>
    <t>SHAREHOLDER'S FUNDS</t>
  </si>
  <si>
    <t>Equity Share Capital</t>
  </si>
  <si>
    <t>Total Share Capital</t>
  </si>
  <si>
    <t>Reserves and Surplus</t>
  </si>
  <si>
    <t>Total Reserves and Surplus</t>
  </si>
  <si>
    <t>Total Shareholders Funds</t>
  </si>
  <si>
    <t>Minority Interest</t>
  </si>
  <si>
    <t>NON-CURRENT LIABILITIES</t>
  </si>
  <si>
    <t>Long Term Borrowings</t>
  </si>
  <si>
    <t>Deferred Tax Liabilities [Net]</t>
  </si>
  <si>
    <t>Other Long Term Liabilities</t>
  </si>
  <si>
    <t>Long Term Provisions</t>
  </si>
  <si>
    <t>Total Non-Current Liabilities</t>
  </si>
  <si>
    <t>CURRENT LIABILITIES</t>
  </si>
  <si>
    <t>Short Term Borrowings</t>
  </si>
  <si>
    <t>Trade Payables</t>
  </si>
  <si>
    <t>Other Current Liabilities</t>
  </si>
  <si>
    <t>Short Term Provisions</t>
  </si>
  <si>
    <t>Total Current Liabilities</t>
  </si>
  <si>
    <t>Total Capital And Liabilities</t>
  </si>
  <si>
    <t>ASSETS</t>
  </si>
  <si>
    <t>NON-CURRENT ASSETS</t>
  </si>
  <si>
    <t>Tangible Assets</t>
  </si>
  <si>
    <t>Intangible Assets</t>
  </si>
  <si>
    <t>Capital Work-In-Progress</t>
  </si>
  <si>
    <t>Fixed Assets</t>
  </si>
  <si>
    <t>Non-Current Investments</t>
  </si>
  <si>
    <t>Deferred Tax Assets [Net]</t>
  </si>
  <si>
    <t>Long Term Loans And Advances</t>
  </si>
  <si>
    <t>Other Non-Current Assets</t>
  </si>
  <si>
    <t>Total Non-Current Assets</t>
  </si>
  <si>
    <t>CURRENT ASSETS</t>
  </si>
  <si>
    <t>Current Investments</t>
  </si>
  <si>
    <t>Inventories</t>
  </si>
  <si>
    <t>Trade Receivables</t>
  </si>
  <si>
    <t>Cash And Cash Equivalents</t>
  </si>
  <si>
    <t>Short Term Loans And Advances</t>
  </si>
  <si>
    <t>OtherCurrentAssets</t>
  </si>
  <si>
    <t>Total Current Assets</t>
  </si>
  <si>
    <t>Total Assets</t>
  </si>
  <si>
    <t>OTHER ADDITIONAL INFORMATION</t>
  </si>
  <si>
    <t>CONTINGENT LIABILITIES, COMMITMENTS</t>
  </si>
  <si>
    <t>Contingent Liabilities</t>
  </si>
  <si>
    <t>BONUS DETAILS</t>
  </si>
  <si>
    <t>Bonus Equity Share Capital</t>
  </si>
  <si>
    <t>NON-CURRENT INVESTMENTS</t>
  </si>
  <si>
    <t>Non-Current Investments Quoted Market Value</t>
  </si>
  <si>
    <t>Non-Current Investments Unquoted Book Value</t>
  </si>
  <si>
    <t>CURRENT INVESTMENTS</t>
  </si>
  <si>
    <t>Current Investments Quoted Market Value</t>
  </si>
  <si>
    <t>Current Investments Unquoted Book Value</t>
  </si>
  <si>
    <t>Profit &amp; Loss account of ITC (in Rs. Cr.)</t>
  </si>
  <si>
    <t>INCOME</t>
  </si>
  <si>
    <t>Revenue From Operations [Gross]</t>
  </si>
  <si>
    <t>Less: Excise/Sevice Tax/Other Levies</t>
  </si>
  <si>
    <t>Revenue From Operations [Net]</t>
  </si>
  <si>
    <t>Total Operating Revenues</t>
  </si>
  <si>
    <t>Other Income</t>
  </si>
  <si>
    <t>Total Revenue</t>
  </si>
  <si>
    <t>EXPENSES</t>
  </si>
  <si>
    <t>Cost Of Materials Consumed</t>
  </si>
  <si>
    <t>Purchase Of Stock-In Trade</t>
  </si>
  <si>
    <t>Operating And Direct Expenses</t>
  </si>
  <si>
    <t>Changes In Inventories Of FGWIP And Stock In Trade</t>
  </si>
  <si>
    <t>Employee Benefit Expenses</t>
  </si>
  <si>
    <t>Finance Costs</t>
  </si>
  <si>
    <t>Depreciation And Amortisation Expenses</t>
  </si>
  <si>
    <t>Other Expenses</t>
  </si>
  <si>
    <t>Total Expenses</t>
  </si>
  <si>
    <t>Profit/Loss Before Exceptional, ExtraOrdinary Items And Tax</t>
  </si>
  <si>
    <t>Exceptional Items</t>
  </si>
  <si>
    <t>Profit/Loss Before Tax</t>
  </si>
  <si>
    <t>Tax Expenses-Continued Operations</t>
  </si>
  <si>
    <t>Current Tax</t>
  </si>
  <si>
    <t>Less: MAT Credit Entitlement</t>
  </si>
  <si>
    <t>Deferred Tax</t>
  </si>
  <si>
    <t>Other Direct Taxes</t>
  </si>
  <si>
    <t>Total Tax Expenses</t>
  </si>
  <si>
    <t>Profit/Loss After Tax And Before ExtraOrdinary Items</t>
  </si>
  <si>
    <t>Profit/Loss From Continuing Operations</t>
  </si>
  <si>
    <t>Profit/Loss For The Period</t>
  </si>
  <si>
    <t>Consolidated Profit/Loss After MI And Associates</t>
  </si>
  <si>
    <t>EARNINGS PER SHARE</t>
  </si>
  <si>
    <t>Basic EPS (Rs.)</t>
  </si>
  <si>
    <t>Diluted EPS (Rs.)</t>
  </si>
  <si>
    <t>DIVIDEND AND DIVIDEND PERCENTAGE</t>
  </si>
  <si>
    <t>Equity Share Dividend</t>
  </si>
  <si>
    <t>Tax On Dividend</t>
  </si>
  <si>
    <t>Balance Sheet of Hindustan Unilever (in Rs. Cr.)</t>
  </si>
  <si>
    <t>Other Assets</t>
  </si>
  <si>
    <t>CIF VALUE OF IMPORTS</t>
  </si>
  <si>
    <t>Raw Materials</t>
  </si>
  <si>
    <t>Stores, Spares And Loose Tools</t>
  </si>
  <si>
    <t>Trade/Other Goods</t>
  </si>
  <si>
    <t>Capital Goods</t>
  </si>
  <si>
    <t>EXPENDITURE IN FOREIGN EXCHANGE</t>
  </si>
  <si>
    <t>Expenditure In Foreign Currency</t>
  </si>
  <si>
    <t>REMITTANCES IN FOREIGN CURRENCIES FOR DIVIDENDS</t>
  </si>
  <si>
    <t>Dividend Remittance In Foreign Currency</t>
  </si>
  <si>
    <t>--</t>
  </si>
  <si>
    <t>EARNINGS IN FOREIGN EXCHANGE</t>
  </si>
  <si>
    <t>FOB Value Of Goods</t>
  </si>
  <si>
    <t>Other Earnings</t>
  </si>
  <si>
    <t>Profit &amp; Loss account of Hindustan Unilever (in Rs. Cr.)</t>
  </si>
  <si>
    <t>Balance Sheet of Dabur India (in Rs. Cr.)</t>
  </si>
  <si>
    <t>Profit &amp; Loss account of Dabur India (in Rs. Cr.)</t>
  </si>
  <si>
    <t>Balance Sheet of Britannia Industries (in Rs. Cr.)</t>
  </si>
  <si>
    <t>Profit &amp; Loss account of Britannia Industries (in Rs. Cr.)</t>
  </si>
  <si>
    <t>DuPont Analysis-ITC(Rs. Cr.)</t>
  </si>
  <si>
    <t>FY25</t>
  </si>
  <si>
    <t>FY24</t>
  </si>
  <si>
    <t>FY23</t>
  </si>
  <si>
    <t>FY22</t>
  </si>
  <si>
    <t>FY21</t>
  </si>
  <si>
    <t>FORMULA</t>
  </si>
  <si>
    <t>INPUT</t>
  </si>
  <si>
    <t>Net Revenue(Net sales)</t>
  </si>
  <si>
    <t>Net income (PAT)</t>
  </si>
  <si>
    <t>EBT</t>
  </si>
  <si>
    <t>EBIT</t>
  </si>
  <si>
    <t>Shareholders equity</t>
  </si>
  <si>
    <t>Tax Burden</t>
  </si>
  <si>
    <t>Interest Burden</t>
  </si>
  <si>
    <t>Operating Margin</t>
  </si>
  <si>
    <t>Asset Turnover</t>
  </si>
  <si>
    <t>Equity Multiplier</t>
  </si>
  <si>
    <t>ROE</t>
  </si>
  <si>
    <t>Net income/EBT</t>
  </si>
  <si>
    <t>EBT/EBIT</t>
  </si>
  <si>
    <t>EBIT/Revenue</t>
  </si>
  <si>
    <t>Revenue/Total Asset</t>
  </si>
  <si>
    <t>Total Asset/Equity</t>
  </si>
  <si>
    <t>Multiplication of above</t>
  </si>
  <si>
    <t>5 step DuPont Analysis for ROE</t>
  </si>
  <si>
    <t>Net Profit Margin</t>
  </si>
  <si>
    <t>ROA(DuPont)</t>
  </si>
  <si>
    <t>Net Income/Revenue</t>
  </si>
  <si>
    <t>Revenue/Total Assets</t>
  </si>
  <si>
    <t>NPM*Assets Turnover</t>
  </si>
  <si>
    <t>ROA using DoPont Decomposition</t>
  </si>
  <si>
    <t>DuPont Analysis-HUL(Rs. Cr.)</t>
  </si>
  <si>
    <t>DuPont Analysis-DABUR IND(Rs. Cr.)</t>
  </si>
  <si>
    <t>DuPont Analysis-BRITANNAI(Rs. Cr.)</t>
  </si>
  <si>
    <t>ITC</t>
  </si>
  <si>
    <t>HUL</t>
  </si>
  <si>
    <t>DABUR</t>
  </si>
  <si>
    <t>BRITANNIA</t>
  </si>
  <si>
    <t>Inter Company Comparision of All 4 Company</t>
  </si>
  <si>
    <t>ROA</t>
  </si>
  <si>
    <t>Intra Company Comparision of ITC</t>
  </si>
  <si>
    <t>Average of 5 year</t>
  </si>
  <si>
    <t>Company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</si>
</sst>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333333"/>
      <name val="Arial"/>
      <family val="2"/>
    </font>
    <font>
      <sz val="10"/>
      <color rgb="FF333333"/>
      <name val="Arial"/>
      <family val="2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333333"/>
      <name val="Arial"/>
      <family val="2"/>
    </font>
    <font>
      <sz val="11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DEE4E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1" xfId="0" applyBorder="1"/>
    <xf numFmtId="0" fontId="5" fillId="3" borderId="1" xfId="0" applyFont="1" applyFill="1" applyBorder="1" applyAlignment="1">
      <alignment horizontal="left" vertical="top" wrapText="1"/>
    </xf>
    <xf numFmtId="17" fontId="5" fillId="3" borderId="1" xfId="0" applyNumberFormat="1" applyFont="1" applyFill="1" applyBorder="1" applyAlignment="1">
      <alignment horizontal="right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right" vertical="top" wrapText="1"/>
    </xf>
    <xf numFmtId="0" fontId="6" fillId="2" borderId="1" xfId="0" applyFont="1" applyFill="1" applyBorder="1" applyAlignment="1">
      <alignment horizontal="left" vertical="top" wrapText="1"/>
    </xf>
    <xf numFmtId="4" fontId="6" fillId="2" borderId="1" xfId="0" applyNumberFormat="1" applyFont="1" applyFill="1" applyBorder="1" applyAlignment="1">
      <alignment horizontal="right" vertical="top" wrapText="1"/>
    </xf>
    <xf numFmtId="0" fontId="6" fillId="2" borderId="1" xfId="0" applyFont="1" applyFill="1" applyBorder="1" applyAlignment="1">
      <alignment horizontal="right" vertical="top" wrapText="1"/>
    </xf>
    <xf numFmtId="4" fontId="5" fillId="3" borderId="1" xfId="0" applyNumberFormat="1" applyFont="1" applyFill="1" applyBorder="1" applyAlignment="1">
      <alignment horizontal="right" vertical="top" wrapText="1"/>
    </xf>
    <xf numFmtId="0" fontId="5" fillId="3" borderId="1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right" vertical="top"/>
    </xf>
    <xf numFmtId="0" fontId="5" fillId="4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right" vertical="top"/>
    </xf>
    <xf numFmtId="0" fontId="6" fillId="2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right" vertical="top"/>
    </xf>
    <xf numFmtId="4" fontId="6" fillId="2" borderId="1" xfId="0" applyNumberFormat="1" applyFont="1" applyFill="1" applyBorder="1" applyAlignment="1">
      <alignment horizontal="right" vertical="top"/>
    </xf>
    <xf numFmtId="4" fontId="5" fillId="3" borderId="1" xfId="0" applyNumberFormat="1" applyFont="1" applyFill="1" applyBorder="1" applyAlignment="1">
      <alignment horizontal="right" vertical="top"/>
    </xf>
    <xf numFmtId="0" fontId="5" fillId="5" borderId="1" xfId="0" applyFont="1" applyFill="1" applyBorder="1" applyAlignment="1">
      <alignment vertical="top"/>
    </xf>
    <xf numFmtId="17" fontId="5" fillId="5" borderId="1" xfId="0" applyNumberFormat="1" applyFont="1" applyFill="1" applyBorder="1" applyAlignment="1">
      <alignment vertical="top"/>
    </xf>
    <xf numFmtId="0" fontId="5" fillId="4" borderId="1" xfId="0" applyFont="1" applyFill="1" applyBorder="1" applyAlignment="1">
      <alignment vertical="top"/>
    </xf>
    <xf numFmtId="0" fontId="5" fillId="3" borderId="1" xfId="0" applyFont="1" applyFill="1" applyBorder="1" applyAlignment="1">
      <alignment vertical="top"/>
    </xf>
    <xf numFmtId="4" fontId="5" fillId="3" borderId="1" xfId="0" applyNumberFormat="1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4" fontId="6" fillId="2" borderId="1" xfId="0" applyNumberFormat="1" applyFont="1" applyFill="1" applyBorder="1" applyAlignment="1">
      <alignment vertical="top"/>
    </xf>
    <xf numFmtId="0" fontId="5" fillId="5" borderId="1" xfId="0" applyFont="1" applyFill="1" applyBorder="1" applyAlignment="1">
      <alignment horizontal="left" vertical="top"/>
    </xf>
    <xf numFmtId="17" fontId="5" fillId="5" borderId="1" xfId="0" applyNumberFormat="1" applyFont="1" applyFill="1" applyBorder="1" applyAlignment="1">
      <alignment horizontal="right" vertical="top"/>
    </xf>
    <xf numFmtId="10" fontId="0" fillId="0" borderId="0" xfId="1" applyNumberFormat="1" applyFont="1"/>
    <xf numFmtId="0" fontId="0" fillId="0" borderId="0" xfId="0" applyAlignment="1">
      <alignment horizontal="center"/>
    </xf>
    <xf numFmtId="0" fontId="7" fillId="6" borderId="0" xfId="0" applyFont="1" applyFill="1"/>
    <xf numFmtId="0" fontId="3" fillId="7" borderId="1" xfId="0" applyFont="1" applyFill="1" applyBorder="1"/>
    <xf numFmtId="0" fontId="4" fillId="6" borderId="0" xfId="0" applyFont="1" applyFill="1"/>
    <xf numFmtId="0" fontId="3" fillId="7" borderId="0" xfId="0" applyFont="1" applyFill="1"/>
    <xf numFmtId="0" fontId="0" fillId="8" borderId="0" xfId="0" applyFill="1"/>
    <xf numFmtId="0" fontId="4" fillId="8" borderId="0" xfId="0" applyFont="1" applyFill="1"/>
    <xf numFmtId="0" fontId="7" fillId="8" borderId="2" xfId="0" applyFont="1" applyFill="1" applyBorder="1"/>
    <xf numFmtId="0" fontId="7" fillId="8" borderId="3" xfId="0" applyFont="1" applyFill="1" applyBorder="1"/>
    <xf numFmtId="0" fontId="7" fillId="8" borderId="4" xfId="0" applyFont="1" applyFill="1" applyBorder="1"/>
    <xf numFmtId="0" fontId="7" fillId="6" borderId="5" xfId="0" applyFont="1" applyFill="1" applyBorder="1"/>
    <xf numFmtId="0" fontId="7" fillId="6" borderId="0" xfId="0" applyFont="1" applyFill="1" applyBorder="1"/>
    <xf numFmtId="0" fontId="7" fillId="6" borderId="6" xfId="0" applyFont="1" applyFill="1" applyBorder="1"/>
    <xf numFmtId="0" fontId="3" fillId="7" borderId="7" xfId="0" applyFont="1" applyFill="1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4" fillId="6" borderId="5" xfId="0" applyFont="1" applyFill="1" applyBorder="1"/>
    <xf numFmtId="0" fontId="4" fillId="6" borderId="0" xfId="0" applyFont="1" applyFill="1" applyBorder="1"/>
    <xf numFmtId="0" fontId="4" fillId="6" borderId="6" xfId="0" applyFont="1" applyFill="1" applyBorder="1"/>
    <xf numFmtId="0" fontId="8" fillId="6" borderId="6" xfId="0" applyFont="1" applyFill="1" applyBorder="1"/>
    <xf numFmtId="0" fontId="9" fillId="6" borderId="5" xfId="0" applyFont="1" applyFill="1" applyBorder="1"/>
    <xf numFmtId="0" fontId="10" fillId="6" borderId="0" xfId="0" applyFont="1" applyFill="1" applyBorder="1" applyAlignment="1">
      <alignment horizontal="center"/>
    </xf>
    <xf numFmtId="0" fontId="9" fillId="6" borderId="0" xfId="0" applyFont="1" applyFill="1" applyBorder="1"/>
    <xf numFmtId="0" fontId="10" fillId="8" borderId="3" xfId="0" applyFont="1" applyFill="1" applyBorder="1" applyAlignment="1">
      <alignment horizontal="center"/>
    </xf>
    <xf numFmtId="0" fontId="10" fillId="6" borderId="0" xfId="0" applyFont="1" applyFill="1" applyBorder="1" applyAlignment="1"/>
    <xf numFmtId="0" fontId="10" fillId="8" borderId="0" xfId="0" applyFont="1" applyFill="1" applyAlignment="1">
      <alignment horizontal="center"/>
    </xf>
    <xf numFmtId="0" fontId="10" fillId="6" borderId="0" xfId="0" applyFont="1" applyFill="1" applyAlignment="1"/>
    <xf numFmtId="0" fontId="11" fillId="7" borderId="7" xfId="0" applyFont="1" applyFill="1" applyBorder="1" applyAlignment="1">
      <alignment vertical="top"/>
    </xf>
    <xf numFmtId="0" fontId="0" fillId="0" borderId="1" xfId="0" applyFont="1" applyBorder="1"/>
    <xf numFmtId="169" fontId="0" fillId="0" borderId="1" xfId="1" applyNumberFormat="1" applyFont="1" applyBorder="1"/>
    <xf numFmtId="0" fontId="11" fillId="7" borderId="1" xfId="0" applyFont="1" applyFill="1" applyBorder="1" applyAlignment="1">
      <alignment vertical="top"/>
    </xf>
    <xf numFmtId="4" fontId="0" fillId="0" borderId="1" xfId="0" applyNumberFormat="1" applyFont="1" applyBorder="1"/>
    <xf numFmtId="4" fontId="0" fillId="0" borderId="8" xfId="0" applyNumberFormat="1" applyFont="1" applyBorder="1"/>
    <xf numFmtId="4" fontId="12" fillId="3" borderId="1" xfId="0" applyNumberFormat="1" applyFont="1" applyFill="1" applyBorder="1" applyAlignment="1">
      <alignment vertical="top"/>
    </xf>
    <xf numFmtId="4" fontId="12" fillId="3" borderId="8" xfId="0" applyNumberFormat="1" applyFont="1" applyFill="1" applyBorder="1" applyAlignment="1">
      <alignment vertical="top"/>
    </xf>
    <xf numFmtId="0" fontId="13" fillId="7" borderId="7" xfId="0" applyFont="1" applyFill="1" applyBorder="1" applyAlignment="1">
      <alignment vertical="top"/>
    </xf>
    <xf numFmtId="2" fontId="0" fillId="0" borderId="0" xfId="0" applyNumberFormat="1"/>
    <xf numFmtId="0" fontId="3" fillId="10" borderId="0" xfId="0" applyFont="1" applyFill="1"/>
    <xf numFmtId="0" fontId="3" fillId="11" borderId="0" xfId="0" applyFont="1" applyFill="1"/>
    <xf numFmtId="10" fontId="0" fillId="11" borderId="0" xfId="0" applyNumberFormat="1" applyFill="1"/>
    <xf numFmtId="0" fontId="2" fillId="8" borderId="0" xfId="0" applyFont="1" applyFill="1" applyAlignment="1">
      <alignment horizontal="center"/>
    </xf>
    <xf numFmtId="0" fontId="2" fillId="8" borderId="0" xfId="0" applyFont="1" applyFill="1"/>
    <xf numFmtId="0" fontId="3" fillId="9" borderId="0" xfId="0" applyFont="1" applyFill="1"/>
    <xf numFmtId="0" fontId="0" fillId="9" borderId="0" xfId="0" applyFill="1"/>
    <xf numFmtId="0" fontId="2" fillId="12" borderId="0" xfId="0" applyFont="1" applyFill="1" applyAlignment="1">
      <alignment horizontal="center"/>
    </xf>
    <xf numFmtId="0" fontId="2" fillId="12" borderId="0" xfId="0" applyFont="1" applyFill="1"/>
    <xf numFmtId="0" fontId="3" fillId="9" borderId="0" xfId="0" applyFont="1" applyFill="1" applyAlignment="1">
      <alignment horizontal="center"/>
    </xf>
    <xf numFmtId="0" fontId="3" fillId="9" borderId="0" xfId="0" applyFont="1" applyFill="1" applyAlignment="1"/>
    <xf numFmtId="0" fontId="0" fillId="12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ROE</a:t>
            </a:r>
            <a:r>
              <a:rPr lang="en-IN" baseline="0"/>
              <a:t> of 5 company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Comparision!$A$4</c:f>
              <c:strCache>
                <c:ptCount val="1"/>
                <c:pt idx="0">
                  <c:v>ITC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Comparision!$B$3:$F$3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Comparision!$B$4:$F$4</c:f>
              <c:numCache>
                <c:formatCode>0.00%</c:formatCode>
                <c:ptCount val="5"/>
                <c:pt idx="0">
                  <c:v>0.22187887651717542</c:v>
                </c:pt>
                <c:pt idx="1">
                  <c:v>0.24794666032188958</c:v>
                </c:pt>
                <c:pt idx="2">
                  <c:v>0.28092844998341421</c:v>
                </c:pt>
                <c:pt idx="3">
                  <c:v>0.27814500650945551</c:v>
                </c:pt>
                <c:pt idx="4">
                  <c:v>0.28453571002733824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E3-49D1-A7DB-FBD4CBCFC5F3}"/>
            </c:ext>
          </c:extLst>
        </c:ser>
        <c:ser>
          <c:idx val="1"/>
          <c:order val="1"/>
          <c:tx>
            <c:strRef>
              <c:f>Comparision!$A$5</c:f>
              <c:strCache>
                <c:ptCount val="1"/>
                <c:pt idx="0">
                  <c:v>HUL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Comparision!$B$3:$F$3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Comparision!$B$5:$F$5</c:f>
              <c:numCache>
                <c:formatCode>0.00%</c:formatCode>
                <c:ptCount val="5"/>
                <c:pt idx="0">
                  <c:v>0.16865539486444323</c:v>
                </c:pt>
                <c:pt idx="1">
                  <c:v>0.18226004922067268</c:v>
                </c:pt>
                <c:pt idx="2">
                  <c:v>0.20200712849206509</c:v>
                </c:pt>
                <c:pt idx="3">
                  <c:v>0.20179310615423857</c:v>
                </c:pt>
                <c:pt idx="4">
                  <c:v>0.21726039102394565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E3-49D1-A7DB-FBD4CBCFC5F3}"/>
            </c:ext>
          </c:extLst>
        </c:ser>
        <c:ser>
          <c:idx val="2"/>
          <c:order val="2"/>
          <c:tx>
            <c:strRef>
              <c:f>Comparision!$A$6</c:f>
              <c:strCache>
                <c:ptCount val="1"/>
                <c:pt idx="0">
                  <c:v>DABUR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Comparision!$B$3:$F$3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Comparision!$B$6:$F$6</c:f>
              <c:numCache>
                <c:formatCode>0.00%</c:formatCode>
                <c:ptCount val="5"/>
                <c:pt idx="0">
                  <c:v>0.22130271558929113</c:v>
                </c:pt>
                <c:pt idx="1">
                  <c:v>0.20809420972880102</c:v>
                </c:pt>
                <c:pt idx="2">
                  <c:v>0.1897816401174155</c:v>
                </c:pt>
                <c:pt idx="3">
                  <c:v>0.18363722976191688</c:v>
                </c:pt>
                <c:pt idx="4">
                  <c:v>0.16108878229076104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E3-49D1-A7DB-FBD4CBCFC5F3}"/>
            </c:ext>
          </c:extLst>
        </c:ser>
        <c:ser>
          <c:idx val="3"/>
          <c:order val="3"/>
          <c:tx>
            <c:strRef>
              <c:f>Comparision!$A$7</c:f>
              <c:strCache>
                <c:ptCount val="1"/>
                <c:pt idx="0">
                  <c:v>BRITANNIA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Comparision!$B$3:$F$3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Comparision!$B$7:$F$7</c:f>
              <c:numCache>
                <c:formatCode>0.00%</c:formatCode>
                <c:ptCount val="5"/>
                <c:pt idx="0">
                  <c:v>0.52140847770079435</c:v>
                </c:pt>
                <c:pt idx="1">
                  <c:v>0.59269770532817334</c:v>
                </c:pt>
                <c:pt idx="2">
                  <c:v>0.65385779807428412</c:v>
                </c:pt>
                <c:pt idx="3">
                  <c:v>0.54228064300066958</c:v>
                </c:pt>
                <c:pt idx="4">
                  <c:v>0.50246572323289829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5E3-49D1-A7DB-FBD4CBCFC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9106208"/>
        <c:axId val="1979107168"/>
      </c:lineChart>
      <c:catAx>
        <c:axId val="197910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107168"/>
        <c:crosses val="autoZero"/>
        <c:auto val="1"/>
        <c:lblAlgn val="ctr"/>
        <c:lblOffset val="100"/>
        <c:noMultiLvlLbl val="0"/>
      </c:catAx>
      <c:valAx>
        <c:axId val="197910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10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ROA</a:t>
            </a:r>
            <a:r>
              <a:rPr lang="en-IN" baseline="0"/>
              <a:t> of 5 company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Comparision!$A$11</c:f>
              <c:strCache>
                <c:ptCount val="1"/>
                <c:pt idx="0">
                  <c:v>ITC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Comparision!$B$10:$F$10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Comparision!$B$11:$F$11</c:f>
              <c:numCache>
                <c:formatCode>0.00%</c:formatCode>
                <c:ptCount val="5"/>
                <c:pt idx="0">
                  <c:v>0.18138616865779003</c:v>
                </c:pt>
                <c:pt idx="1">
                  <c:v>0.20043670976597711</c:v>
                </c:pt>
                <c:pt idx="2">
                  <c:v>0.226211060678146</c:v>
                </c:pt>
                <c:pt idx="3">
                  <c:v>0.22568459794028195</c:v>
                </c:pt>
                <c:pt idx="4">
                  <c:v>0.22619929826855692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8D-4497-8AFC-2938E50E40F4}"/>
            </c:ext>
          </c:extLst>
        </c:ser>
        <c:ser>
          <c:idx val="1"/>
          <c:order val="1"/>
          <c:tx>
            <c:strRef>
              <c:f>Comparision!$A$12</c:f>
              <c:strCache>
                <c:ptCount val="1"/>
                <c:pt idx="0">
                  <c:v>HUL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Comparision!$B$10:$F$10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Comparision!$B$12:$F$12</c:f>
              <c:numCache>
                <c:formatCode>0.00%</c:formatCode>
                <c:ptCount val="5"/>
                <c:pt idx="0">
                  <c:v>0.11744670855599272</c:v>
                </c:pt>
                <c:pt idx="1">
                  <c:v>0.12743593788089536</c:v>
                </c:pt>
                <c:pt idx="2">
                  <c:v>0.14124608423250956</c:v>
                </c:pt>
                <c:pt idx="3">
                  <c:v>0.13345269604027193</c:v>
                </c:pt>
                <c:pt idx="4">
                  <c:v>0.13636305594218073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8D-4497-8AFC-2938E50E40F4}"/>
            </c:ext>
          </c:extLst>
        </c:ser>
        <c:ser>
          <c:idx val="2"/>
          <c:order val="2"/>
          <c:tx>
            <c:strRef>
              <c:f>Comparision!$A$13</c:f>
              <c:strCache>
                <c:ptCount val="1"/>
                <c:pt idx="0">
                  <c:v>DABUR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Comparision!$B$10:$F$10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Comparision!$B$13:$F$13</c:f>
              <c:numCache>
                <c:formatCode>0.00%</c:formatCode>
                <c:ptCount val="5"/>
                <c:pt idx="0">
                  <c:v>0.15635103478984766</c:v>
                </c:pt>
                <c:pt idx="1">
                  <c:v>0.14197531366686392</c:v>
                </c:pt>
                <c:pt idx="2">
                  <c:v>0.12471904599040452</c:v>
                </c:pt>
                <c:pt idx="3">
                  <c:v>0.11980812924693243</c:v>
                </c:pt>
                <c:pt idx="4">
                  <c:v>0.1071858050748262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8D-4497-8AFC-2938E50E40F4}"/>
            </c:ext>
          </c:extLst>
        </c:ser>
        <c:ser>
          <c:idx val="3"/>
          <c:order val="3"/>
          <c:tx>
            <c:strRef>
              <c:f>Comparision!$A$14</c:f>
              <c:strCache>
                <c:ptCount val="1"/>
                <c:pt idx="0">
                  <c:v>BRITANNIA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Comparision!$B$10:$F$10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Comparision!$B$14:$F$14</c:f>
              <c:numCache>
                <c:formatCode>0.00%</c:formatCode>
                <c:ptCount val="5"/>
                <c:pt idx="0">
                  <c:v>0.2309690115098679</c:v>
                </c:pt>
                <c:pt idx="1">
                  <c:v>0.20173959787267171</c:v>
                </c:pt>
                <c:pt idx="2">
                  <c:v>0.24708427067206121</c:v>
                </c:pt>
                <c:pt idx="3">
                  <c:v>0.23556465158107734</c:v>
                </c:pt>
                <c:pt idx="4">
                  <c:v>0.24761980189058161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8D-4497-8AFC-2938E50E4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1359728"/>
        <c:axId val="669353680"/>
      </c:lineChart>
      <c:catAx>
        <c:axId val="42135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353680"/>
        <c:crosses val="autoZero"/>
        <c:auto val="1"/>
        <c:lblAlgn val="ctr"/>
        <c:lblOffset val="100"/>
        <c:noMultiLvlLbl val="0"/>
      </c:catAx>
      <c:valAx>
        <c:axId val="66935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35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388620</xdr:colOff>
      <xdr:row>0</xdr:row>
      <xdr:rowOff>148590</xdr:rowOff>
    </xdr:from>
    <xdr:to>
      <xdr:col>15</xdr:col>
      <xdr:colOff>83820</xdr:colOff>
      <xdr:row>15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63692E-9D10-18E4-A8DD-B7A3BCAE2A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396240</xdr:colOff>
      <xdr:row>16</xdr:row>
      <xdr:rowOff>34290</xdr:rowOff>
    </xdr:from>
    <xdr:to>
      <xdr:col>15</xdr:col>
      <xdr:colOff>91440</xdr:colOff>
      <xdr:row>31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713744-F9DE-4B21-91C8-614D573702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243840</xdr:colOff>
      <xdr:row>1</xdr:row>
      <xdr:rowOff>160020</xdr:rowOff>
    </xdr:from>
    <xdr:to>
      <xdr:col>12</xdr:col>
      <xdr:colOff>586740</xdr:colOff>
      <xdr:row>32</xdr:row>
      <xdr:rowOff>83820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664089-220F-B717-0D67-36859B37625D}"/>
            </a:ext>
          </a:extLst>
        </xdr:cNvPr>
        <xdr:cNvSpPr txBox="1"/>
      </xdr:nvSpPr>
      <xdr:spPr>
        <a:xfrm>
          <a:off x="853440" y="342900"/>
          <a:ext cx="7048500" cy="559308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400" b="1"/>
            <a:t>Interpretation</a:t>
          </a:r>
          <a:br>
            <a:rPr lang="en-IN"/>
          </a:br>
          <a:endParaRPr lang="en-IN"/>
        </a:p>
        <a:p>
          <a:r>
            <a:rPr lang="en-IN" sz="1600" b="1"/>
            <a:t>DuPont Analysis of ROE &amp; ROA — ITC Limited and Peer Comparison (FY2021–FY2025)</a:t>
          </a:r>
          <a:endParaRPr lang="en-IN" sz="1600"/>
        </a:p>
        <a:p>
          <a:pPr algn="just"/>
          <a:r>
            <a:rPr lang="en-IN" sz="1200" b="0"/>
            <a:t>The DuPont analysis of ITC Limited and its three FMCG peers — HUL, Dabur, and Britannia — reveals distinct patterns in profitability, efficiency, and financial structure over the five-year period FY2021–FY2025.</a:t>
          </a:r>
        </a:p>
        <a:p>
          <a:pPr algn="just"/>
          <a:r>
            <a:rPr lang="en-IN" sz="1200" b="0"/>
            <a:t>Inter-Firm Comparison: Britannia leads with the highest average ROE of 56.25%, driven primarily by a high equity multiplier (averaging ~2.43x) and strong asset turnover (~1.80x), indicating a capital-light, highly leveraged model. However, its net profit margin is the lowest among peers (~13%), confirming that Britannia's ROE is structurally amplified by financial leverage rather than superior profitability.</a:t>
          </a:r>
        </a:p>
        <a:p>
          <a:pPr algn="just"/>
          <a:r>
            <a:rPr lang="en-IN" sz="1200" b="0"/>
            <a:t>ITC holds the second-highest average ROE of 26.27%, supported by consistently high operating margins (~36.5%) — the best among all four companies. This reflects the dominance of its high-margin cigarette business. ITC's ROA average of 21.20% is the second highest, very close to Britannia's 23.26%, showing that ITC generates strong profits relative to its total asset base with minimal leverage (equity multiplier ~1.24x).</a:t>
          </a:r>
        </a:p>
        <a:p>
          <a:pPr algn="just"/>
          <a:r>
            <a:rPr lang="en-IN" sz="1200" b="0"/>
            <a:t>HUL and Dabur trail in both ROE and ROA. Notably, Dabur shows a declining trend — ROE fell from 22.13% in FY21 to just 16.11% in FY25, driven by falling asset turnover and compressing margins, signaling weakening operational efficiency.</a:t>
          </a:r>
        </a:p>
        <a:p>
          <a:r>
            <a:rPr lang="en-IN" sz="1600" b="1"/>
            <a:t>Intra-Firm Comparison of ITC:</a:t>
          </a:r>
        </a:p>
        <a:p>
          <a:r>
            <a:rPr lang="en-IN"/>
            <a:t> </a:t>
          </a:r>
          <a:r>
            <a:rPr lang="en-IN" sz="1200" b="0"/>
            <a:t>ITC's ROE improved from 22.19% (FY21) to 28.45% (FY25). The key driver was asset turnover improving from 0.66x to 0.85x, meaning ITC is extracting more revenue per rupee of assets — a sign of genuine operational progress. The interest burden remained near 1.0 throughout, confirming ITC is virtually debt-free. Operating margin remained stable around 36%, and the equity multiplier was steady ~1.24x, reflecting conservative financing.</a:t>
          </a:r>
        </a:p>
        <a:p>
          <a:r>
            <a:rPr lang="en-IN" sz="1600" b="1"/>
            <a:t>Conclusion:</a:t>
          </a:r>
          <a:endParaRPr lang="en-IN" sz="1600"/>
        </a:p>
        <a:p>
          <a:r>
            <a:rPr lang="en-IN" sz="1200"/>
            <a:t>ITC's ROE growth is quality-driven — powered by efficiency gains and strong margins — unlike Britannia whose ROE is leverage-driven. ITC represents the most balanced and sustainable value creation model among the four companies analyzed.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9CF12-C193-4964-816D-2366C8E2AF02}">
  <dimension ref="A1:I53"/>
  <sheetViews>
    <sheetView workbookViewId="0">
      <selection activeCell="H18" sqref="H18"/>
    </sheetView>
  </sheetViews>
  <sheetFormatPr defaultRowHeight="14.4" x14ac:dyDescent="0.3"/>
  <cols>
    <col min="1" max="1" width="27.109375" customWidth="1"/>
    <col min="2" max="6" width="9.109375" bestFit="1" customWidth="1"/>
  </cols>
  <sheetData>
    <row r="1" spans="1:9" ht="26.4" x14ac:dyDescent="0.3">
      <c r="A1" s="2" t="s">
        <v>0</v>
      </c>
      <c r="B1" s="3">
        <v>45717</v>
      </c>
      <c r="C1" s="3">
        <v>45352</v>
      </c>
      <c r="D1" s="3">
        <v>44986</v>
      </c>
      <c r="E1" s="3">
        <v>44621</v>
      </c>
      <c r="F1" s="3">
        <v>44256</v>
      </c>
    </row>
    <row r="2" spans="1:9" x14ac:dyDescent="0.3">
      <c r="A2" s="4" t="s">
        <v>1</v>
      </c>
      <c r="B2" s="5"/>
      <c r="C2" s="5"/>
      <c r="D2" s="5"/>
      <c r="E2" s="5"/>
      <c r="F2" s="5"/>
    </row>
    <row r="3" spans="1:9" x14ac:dyDescent="0.3">
      <c r="A3" s="4" t="s">
        <v>2</v>
      </c>
      <c r="B3" s="5"/>
      <c r="C3" s="5"/>
      <c r="D3" s="5"/>
      <c r="E3" s="5"/>
      <c r="F3" s="5"/>
    </row>
    <row r="4" spans="1:9" x14ac:dyDescent="0.3">
      <c r="A4" s="6" t="s">
        <v>3</v>
      </c>
      <c r="B4" s="7">
        <v>1251.4100000000001</v>
      </c>
      <c r="C4" s="7">
        <v>1248.47</v>
      </c>
      <c r="D4" s="7">
        <v>1242.8</v>
      </c>
      <c r="E4" s="7">
        <v>1232.33</v>
      </c>
      <c r="F4" s="7">
        <v>1230.8800000000001</v>
      </c>
    </row>
    <row r="5" spans="1:9" x14ac:dyDescent="0.3">
      <c r="A5" s="2" t="s">
        <v>4</v>
      </c>
      <c r="B5" s="9">
        <v>1251.4100000000001</v>
      </c>
      <c r="C5" s="9">
        <v>1248.47</v>
      </c>
      <c r="D5" s="9">
        <v>1242.8</v>
      </c>
      <c r="E5" s="9">
        <v>1232.33</v>
      </c>
      <c r="F5" s="9">
        <v>1230.8800000000001</v>
      </c>
      <c r="I5" s="1"/>
    </row>
    <row r="6" spans="1:9" x14ac:dyDescent="0.3">
      <c r="A6" s="6" t="s">
        <v>5</v>
      </c>
      <c r="B6" s="7">
        <v>68778.64</v>
      </c>
      <c r="C6" s="7">
        <v>72750.94</v>
      </c>
      <c r="D6" s="7">
        <v>67171.009999999995</v>
      </c>
      <c r="E6" s="7">
        <v>59906.91</v>
      </c>
      <c r="F6" s="7">
        <v>57409.94</v>
      </c>
    </row>
    <row r="7" spans="1:9" x14ac:dyDescent="0.3">
      <c r="A7" s="2" t="s">
        <v>6</v>
      </c>
      <c r="B7" s="9">
        <v>68778.64</v>
      </c>
      <c r="C7" s="9">
        <v>72750.94</v>
      </c>
      <c r="D7" s="9">
        <v>67171.009999999995</v>
      </c>
      <c r="E7" s="9">
        <v>59906.91</v>
      </c>
      <c r="F7" s="9">
        <v>57409.94</v>
      </c>
    </row>
    <row r="8" spans="1:9" x14ac:dyDescent="0.3">
      <c r="A8" s="2" t="s">
        <v>7</v>
      </c>
      <c r="B8" s="9">
        <v>70030.05</v>
      </c>
      <c r="C8" s="9">
        <v>74507</v>
      </c>
      <c r="D8" s="9">
        <v>69155.259999999995</v>
      </c>
      <c r="E8" s="9">
        <v>62455.57</v>
      </c>
      <c r="F8" s="9">
        <v>60347.34</v>
      </c>
    </row>
    <row r="9" spans="1:9" x14ac:dyDescent="0.3">
      <c r="A9" s="6" t="s">
        <v>8</v>
      </c>
      <c r="B9" s="8">
        <v>367.89</v>
      </c>
      <c r="C9" s="8">
        <v>382.97</v>
      </c>
      <c r="D9" s="8">
        <v>383.53</v>
      </c>
      <c r="E9" s="8">
        <v>366.3</v>
      </c>
      <c r="F9" s="8">
        <v>346.81</v>
      </c>
    </row>
    <row r="10" spans="1:9" x14ac:dyDescent="0.3">
      <c r="A10" s="4" t="s">
        <v>9</v>
      </c>
      <c r="B10" s="5"/>
      <c r="C10" s="5"/>
      <c r="D10" s="5"/>
      <c r="E10" s="5"/>
      <c r="F10" s="5"/>
    </row>
    <row r="11" spans="1:9" x14ac:dyDescent="0.3">
      <c r="A11" s="6" t="s">
        <v>10</v>
      </c>
      <c r="B11" s="8">
        <v>0</v>
      </c>
      <c r="C11" s="8">
        <v>1.76</v>
      </c>
      <c r="D11" s="8">
        <v>3.49</v>
      </c>
      <c r="E11" s="8">
        <v>4.8499999999999996</v>
      </c>
      <c r="F11" s="8">
        <v>5.58</v>
      </c>
    </row>
    <row r="12" spans="1:9" x14ac:dyDescent="0.3">
      <c r="A12" s="6" t="s">
        <v>11</v>
      </c>
      <c r="B12" s="7">
        <v>2582.46</v>
      </c>
      <c r="C12" s="7">
        <v>2141.44</v>
      </c>
      <c r="D12" s="7">
        <v>1629</v>
      </c>
      <c r="E12" s="7">
        <v>1673.47</v>
      </c>
      <c r="F12" s="7">
        <v>1736.39</v>
      </c>
    </row>
    <row r="13" spans="1:9" x14ac:dyDescent="0.3">
      <c r="A13" s="6" t="s">
        <v>12</v>
      </c>
      <c r="B13" s="8">
        <v>473.06</v>
      </c>
      <c r="C13" s="8">
        <v>814.29</v>
      </c>
      <c r="D13" s="8">
        <v>713.08</v>
      </c>
      <c r="E13" s="8">
        <v>374.6</v>
      </c>
      <c r="F13" s="8">
        <v>506</v>
      </c>
    </row>
    <row r="14" spans="1:9" x14ac:dyDescent="0.3">
      <c r="A14" s="6" t="s">
        <v>13</v>
      </c>
      <c r="B14" s="8">
        <v>303.11</v>
      </c>
      <c r="C14" s="8">
        <v>288.3</v>
      </c>
      <c r="D14" s="8">
        <v>259.20999999999998</v>
      </c>
      <c r="E14" s="8">
        <v>221.05</v>
      </c>
      <c r="F14" s="8">
        <v>187.5</v>
      </c>
    </row>
    <row r="15" spans="1:9" x14ac:dyDescent="0.3">
      <c r="A15" s="2" t="s">
        <v>14</v>
      </c>
      <c r="B15" s="9">
        <v>3358.63</v>
      </c>
      <c r="C15" s="9">
        <v>3245.79</v>
      </c>
      <c r="D15" s="9">
        <v>2604.7800000000002</v>
      </c>
      <c r="E15" s="9">
        <v>2273.9699999999998</v>
      </c>
      <c r="F15" s="9">
        <v>2435.4699999999998</v>
      </c>
    </row>
    <row r="16" spans="1:9" x14ac:dyDescent="0.3">
      <c r="A16" s="4" t="s">
        <v>15</v>
      </c>
      <c r="B16" s="5"/>
      <c r="C16" s="5"/>
      <c r="D16" s="5"/>
      <c r="E16" s="5"/>
      <c r="F16" s="5"/>
    </row>
    <row r="17" spans="1:6" x14ac:dyDescent="0.3">
      <c r="A17" s="6" t="s">
        <v>16</v>
      </c>
      <c r="B17" s="8">
        <v>91.26</v>
      </c>
      <c r="C17" s="8">
        <v>9.52</v>
      </c>
      <c r="D17" s="8">
        <v>35.32</v>
      </c>
      <c r="E17" s="8">
        <v>0.74</v>
      </c>
      <c r="F17" s="8">
        <v>3.88</v>
      </c>
    </row>
    <row r="18" spans="1:6" x14ac:dyDescent="0.3">
      <c r="A18" s="6" t="s">
        <v>17</v>
      </c>
      <c r="B18" s="7">
        <v>4807.3</v>
      </c>
      <c r="C18" s="7">
        <v>4797.83</v>
      </c>
      <c r="D18" s="7">
        <v>4658.99</v>
      </c>
      <c r="E18" s="7">
        <v>4417.26</v>
      </c>
      <c r="F18" s="7">
        <v>4318.7299999999996</v>
      </c>
    </row>
    <row r="19" spans="1:6" x14ac:dyDescent="0.3">
      <c r="A19" s="6" t="s">
        <v>18</v>
      </c>
      <c r="B19" s="7">
        <v>9355.49</v>
      </c>
      <c r="C19" s="7">
        <v>8776.14</v>
      </c>
      <c r="D19" s="7">
        <v>8944.5400000000009</v>
      </c>
      <c r="E19" s="7">
        <v>7666.15</v>
      </c>
      <c r="F19" s="7">
        <v>6173.06</v>
      </c>
    </row>
    <row r="20" spans="1:6" x14ac:dyDescent="0.3">
      <c r="A20" s="6" t="s">
        <v>19</v>
      </c>
      <c r="B20" s="8">
        <v>80.06</v>
      </c>
      <c r="C20" s="8">
        <v>106.91</v>
      </c>
      <c r="D20" s="8">
        <v>100.56</v>
      </c>
      <c r="E20" s="8">
        <v>79.56</v>
      </c>
      <c r="F20" s="8">
        <v>194.01</v>
      </c>
    </row>
    <row r="21" spans="1:6" x14ac:dyDescent="0.3">
      <c r="A21" s="2" t="s">
        <v>20</v>
      </c>
      <c r="B21" s="9">
        <v>14334.11</v>
      </c>
      <c r="C21" s="9">
        <v>13690.4</v>
      </c>
      <c r="D21" s="9">
        <v>13739.41</v>
      </c>
      <c r="E21" s="9">
        <v>12163.71</v>
      </c>
      <c r="F21" s="9">
        <v>10689.68</v>
      </c>
    </row>
    <row r="22" spans="1:6" x14ac:dyDescent="0.3">
      <c r="A22" s="2" t="s">
        <v>21</v>
      </c>
      <c r="B22" s="9">
        <v>88090.68</v>
      </c>
      <c r="C22" s="9">
        <v>91826.16</v>
      </c>
      <c r="D22" s="9">
        <v>85882.98</v>
      </c>
      <c r="E22" s="9">
        <v>77259.55</v>
      </c>
      <c r="F22" s="9">
        <v>73819.3</v>
      </c>
    </row>
    <row r="23" spans="1:6" x14ac:dyDescent="0.3">
      <c r="A23" s="4" t="s">
        <v>22</v>
      </c>
      <c r="B23" s="5"/>
      <c r="C23" s="5"/>
      <c r="D23" s="5"/>
      <c r="E23" s="5"/>
      <c r="F23" s="5"/>
    </row>
    <row r="24" spans="1:6" x14ac:dyDescent="0.3">
      <c r="A24" s="4" t="s">
        <v>23</v>
      </c>
      <c r="B24" s="5"/>
      <c r="C24" s="5"/>
      <c r="D24" s="5"/>
      <c r="E24" s="5"/>
      <c r="F24" s="5"/>
    </row>
    <row r="25" spans="1:6" x14ac:dyDescent="0.3">
      <c r="A25" s="6" t="s">
        <v>24</v>
      </c>
      <c r="B25" s="7">
        <v>18333.18</v>
      </c>
      <c r="C25" s="7">
        <v>24362.38</v>
      </c>
      <c r="D25" s="7">
        <v>22344.22</v>
      </c>
      <c r="E25" s="7">
        <v>21438.76</v>
      </c>
      <c r="F25" s="7">
        <v>20507.689999999999</v>
      </c>
    </row>
    <row r="26" spans="1:6" x14ac:dyDescent="0.3">
      <c r="A26" s="6" t="s">
        <v>25</v>
      </c>
      <c r="B26" s="7">
        <v>2724.74</v>
      </c>
      <c r="C26" s="7">
        <v>2678.11</v>
      </c>
      <c r="D26" s="7">
        <v>2727.32</v>
      </c>
      <c r="E26" s="7">
        <v>2013.1</v>
      </c>
      <c r="F26" s="7">
        <v>2011.06</v>
      </c>
    </row>
    <row r="27" spans="1:6" x14ac:dyDescent="0.3">
      <c r="A27" s="6" t="s">
        <v>26</v>
      </c>
      <c r="B27" s="7">
        <v>1087.5999999999999</v>
      </c>
      <c r="C27" s="7">
        <v>2851.14</v>
      </c>
      <c r="D27" s="7">
        <v>2984.71</v>
      </c>
      <c r="E27" s="7">
        <v>3198.45</v>
      </c>
      <c r="F27" s="7">
        <v>4004.45</v>
      </c>
    </row>
    <row r="28" spans="1:6" x14ac:dyDescent="0.3">
      <c r="A28" s="2" t="s">
        <v>27</v>
      </c>
      <c r="B28" s="9">
        <v>22148.83</v>
      </c>
      <c r="C28" s="9">
        <v>29901.27</v>
      </c>
      <c r="D28" s="9">
        <v>28074.84</v>
      </c>
      <c r="E28" s="9">
        <v>26677.4</v>
      </c>
      <c r="F28" s="9">
        <v>26530.04</v>
      </c>
    </row>
    <row r="29" spans="1:6" x14ac:dyDescent="0.3">
      <c r="A29" s="6" t="s">
        <v>28</v>
      </c>
      <c r="B29" s="7">
        <v>18432.32</v>
      </c>
      <c r="C29" s="7">
        <v>18169.599999999999</v>
      </c>
      <c r="D29" s="7">
        <v>12182.16</v>
      </c>
      <c r="E29" s="7">
        <v>12576.73</v>
      </c>
      <c r="F29" s="7">
        <v>10024.540000000001</v>
      </c>
    </row>
    <row r="30" spans="1:6" x14ac:dyDescent="0.3">
      <c r="A30" s="6" t="s">
        <v>29</v>
      </c>
      <c r="B30" s="8">
        <v>87.98</v>
      </c>
      <c r="C30" s="8">
        <v>72.19</v>
      </c>
      <c r="D30" s="8">
        <v>52.02</v>
      </c>
      <c r="E30" s="8">
        <v>63.53</v>
      </c>
      <c r="F30" s="8">
        <v>58.54</v>
      </c>
    </row>
    <row r="31" spans="1:6" ht="26.4" x14ac:dyDescent="0.3">
      <c r="A31" s="6" t="s">
        <v>30</v>
      </c>
      <c r="B31" s="8">
        <v>7.6</v>
      </c>
      <c r="C31" s="8">
        <v>4.05</v>
      </c>
      <c r="D31" s="8">
        <v>5.48</v>
      </c>
      <c r="E31" s="8">
        <v>6.61</v>
      </c>
      <c r="F31" s="8">
        <v>4.07</v>
      </c>
    </row>
    <row r="32" spans="1:6" x14ac:dyDescent="0.3">
      <c r="A32" s="6" t="s">
        <v>31</v>
      </c>
      <c r="B32" s="7">
        <v>2623.74</v>
      </c>
      <c r="C32" s="7">
        <v>1833.78</v>
      </c>
      <c r="D32" s="7">
        <v>5117.8599999999997</v>
      </c>
      <c r="E32" s="7">
        <v>2923.1</v>
      </c>
      <c r="F32" s="7">
        <v>1430.39</v>
      </c>
    </row>
    <row r="33" spans="1:6" x14ac:dyDescent="0.3">
      <c r="A33" s="2" t="s">
        <v>32</v>
      </c>
      <c r="B33" s="9">
        <v>44197.4</v>
      </c>
      <c r="C33" s="9">
        <v>50760.62</v>
      </c>
      <c r="D33" s="9">
        <v>46212.09</v>
      </c>
      <c r="E33" s="9">
        <v>43027.1</v>
      </c>
      <c r="F33" s="9">
        <v>38827.31</v>
      </c>
    </row>
    <row r="34" spans="1:6" x14ac:dyDescent="0.3">
      <c r="A34" s="4" t="s">
        <v>33</v>
      </c>
      <c r="B34" s="5"/>
      <c r="C34" s="5"/>
      <c r="D34" s="5"/>
      <c r="E34" s="5"/>
      <c r="F34" s="5"/>
    </row>
    <row r="35" spans="1:6" x14ac:dyDescent="0.3">
      <c r="A35" s="6" t="s">
        <v>34</v>
      </c>
      <c r="B35" s="7">
        <v>16287.5</v>
      </c>
      <c r="C35" s="7">
        <v>12944.42</v>
      </c>
      <c r="D35" s="7">
        <v>17232.86</v>
      </c>
      <c r="E35" s="7">
        <v>12264.28</v>
      </c>
      <c r="F35" s="7">
        <v>14846.33</v>
      </c>
    </row>
    <row r="36" spans="1:6" x14ac:dyDescent="0.3">
      <c r="A36" s="6" t="s">
        <v>35</v>
      </c>
      <c r="B36" s="7">
        <v>15836.14</v>
      </c>
      <c r="C36" s="7">
        <v>14302.88</v>
      </c>
      <c r="D36" s="7">
        <v>11914.13</v>
      </c>
      <c r="E36" s="7">
        <v>10973.59</v>
      </c>
      <c r="F36" s="7">
        <v>10507.22</v>
      </c>
    </row>
    <row r="37" spans="1:6" x14ac:dyDescent="0.3">
      <c r="A37" s="6" t="s">
        <v>36</v>
      </c>
      <c r="B37" s="7">
        <v>4719.67</v>
      </c>
      <c r="C37" s="7">
        <v>4025.82</v>
      </c>
      <c r="D37" s="7">
        <v>2956.17</v>
      </c>
      <c r="E37" s="7">
        <v>2461.9</v>
      </c>
      <c r="F37" s="7">
        <v>2501.6999999999998</v>
      </c>
    </row>
    <row r="38" spans="1:6" x14ac:dyDescent="0.3">
      <c r="A38" s="6" t="s">
        <v>37</v>
      </c>
      <c r="B38" s="7">
        <v>4012.36</v>
      </c>
      <c r="C38" s="7">
        <v>7217.68</v>
      </c>
      <c r="D38" s="7">
        <v>4880.1899999999996</v>
      </c>
      <c r="E38" s="7">
        <v>4654.42</v>
      </c>
      <c r="F38" s="7">
        <v>4659.0200000000004</v>
      </c>
    </row>
    <row r="39" spans="1:6" ht="26.4" x14ac:dyDescent="0.3">
      <c r="A39" s="6" t="s">
        <v>38</v>
      </c>
      <c r="B39" s="8">
        <v>9.51</v>
      </c>
      <c r="C39" s="8">
        <v>9.81</v>
      </c>
      <c r="D39" s="8">
        <v>7.12</v>
      </c>
      <c r="E39" s="8">
        <v>6.77</v>
      </c>
      <c r="F39" s="8">
        <v>3.47</v>
      </c>
    </row>
    <row r="40" spans="1:6" x14ac:dyDescent="0.3">
      <c r="A40" s="6" t="s">
        <v>39</v>
      </c>
      <c r="B40" s="7">
        <v>3028.1</v>
      </c>
      <c r="C40" s="7">
        <v>2564.9299999999998</v>
      </c>
      <c r="D40" s="7">
        <v>2680.42</v>
      </c>
      <c r="E40" s="7">
        <v>3871.49</v>
      </c>
      <c r="F40" s="7">
        <v>2474.25</v>
      </c>
    </row>
    <row r="41" spans="1:6" x14ac:dyDescent="0.3">
      <c r="A41" s="2" t="s">
        <v>40</v>
      </c>
      <c r="B41" s="9">
        <v>43893.279999999999</v>
      </c>
      <c r="C41" s="9">
        <v>41065.54</v>
      </c>
      <c r="D41" s="9">
        <v>39670.89</v>
      </c>
      <c r="E41" s="9">
        <v>34232.449999999997</v>
      </c>
      <c r="F41" s="9">
        <v>34991.99</v>
      </c>
    </row>
    <row r="42" spans="1:6" x14ac:dyDescent="0.3">
      <c r="A42" s="2" t="s">
        <v>41</v>
      </c>
      <c r="B42" s="9">
        <v>88090.68</v>
      </c>
      <c r="C42" s="9">
        <v>91826.16</v>
      </c>
      <c r="D42" s="9">
        <v>85882.98</v>
      </c>
      <c r="E42" s="9">
        <v>77259.55</v>
      </c>
      <c r="F42" s="9">
        <v>73819.3</v>
      </c>
    </row>
    <row r="43" spans="1:6" ht="26.4" x14ac:dyDescent="0.3">
      <c r="A43" s="4" t="s">
        <v>42</v>
      </c>
      <c r="B43" s="5"/>
      <c r="C43" s="5"/>
      <c r="D43" s="5"/>
      <c r="E43" s="5"/>
      <c r="F43" s="5"/>
    </row>
    <row r="44" spans="1:6" ht="26.4" x14ac:dyDescent="0.3">
      <c r="A44" s="4" t="s">
        <v>43</v>
      </c>
      <c r="B44" s="5"/>
      <c r="C44" s="5"/>
      <c r="D44" s="5"/>
      <c r="E44" s="5"/>
      <c r="F44" s="5"/>
    </row>
    <row r="45" spans="1:6" x14ac:dyDescent="0.3">
      <c r="A45" s="6" t="s">
        <v>44</v>
      </c>
      <c r="B45" s="7">
        <v>2187.0700000000002</v>
      </c>
      <c r="C45" s="7">
        <v>2292.79</v>
      </c>
      <c r="D45" s="7">
        <v>3093.75</v>
      </c>
      <c r="E45" s="7">
        <v>3205.16</v>
      </c>
      <c r="F45" s="7">
        <v>3527.64</v>
      </c>
    </row>
    <row r="46" spans="1:6" x14ac:dyDescent="0.3">
      <c r="A46" s="4" t="s">
        <v>45</v>
      </c>
      <c r="B46" s="5"/>
      <c r="C46" s="5"/>
      <c r="D46" s="5"/>
      <c r="E46" s="5"/>
      <c r="F46" s="5"/>
    </row>
    <row r="47" spans="1:6" x14ac:dyDescent="0.3">
      <c r="A47" s="6" t="s">
        <v>46</v>
      </c>
      <c r="B47" s="7">
        <v>1113.1400000000001</v>
      </c>
      <c r="C47" s="7">
        <v>1113.1400000000001</v>
      </c>
      <c r="D47" s="7">
        <v>1113.1400000000001</v>
      </c>
      <c r="E47" s="7">
        <v>1113.1300000000001</v>
      </c>
      <c r="F47" s="7">
        <v>1113.1300000000001</v>
      </c>
    </row>
    <row r="48" spans="1:6" ht="26.4" x14ac:dyDescent="0.3">
      <c r="A48" s="4" t="s">
        <v>47</v>
      </c>
      <c r="B48" s="5"/>
      <c r="C48" s="5"/>
      <c r="D48" s="5"/>
      <c r="E48" s="5"/>
      <c r="F48" s="5"/>
    </row>
    <row r="49" spans="1:6" ht="26.4" x14ac:dyDescent="0.3">
      <c r="A49" s="6" t="s">
        <v>48</v>
      </c>
      <c r="B49" s="7">
        <v>13908.24</v>
      </c>
      <c r="C49" s="7">
        <v>13953.49</v>
      </c>
      <c r="D49" s="7">
        <v>8853.1299999999992</v>
      </c>
      <c r="E49" s="7">
        <v>11701.81</v>
      </c>
      <c r="F49" s="7">
        <v>10237.469999999999</v>
      </c>
    </row>
    <row r="50" spans="1:6" ht="26.4" x14ac:dyDescent="0.3">
      <c r="A50" s="6" t="s">
        <v>49</v>
      </c>
      <c r="B50" s="7">
        <v>4524.08</v>
      </c>
      <c r="C50" s="7">
        <v>4223.41</v>
      </c>
      <c r="D50" s="7">
        <v>3323.59</v>
      </c>
      <c r="E50" s="7">
        <v>1095.82</v>
      </c>
      <c r="F50" s="8">
        <v>229.5</v>
      </c>
    </row>
    <row r="51" spans="1:6" x14ac:dyDescent="0.3">
      <c r="A51" s="4" t="s">
        <v>50</v>
      </c>
      <c r="B51" s="5"/>
      <c r="C51" s="5"/>
      <c r="D51" s="5"/>
      <c r="E51" s="5"/>
      <c r="F51" s="5"/>
    </row>
    <row r="52" spans="1:6" ht="26.4" x14ac:dyDescent="0.3">
      <c r="A52" s="6" t="s">
        <v>51</v>
      </c>
      <c r="B52" s="7">
        <v>3938.02</v>
      </c>
      <c r="C52" s="8">
        <v>119.6</v>
      </c>
      <c r="D52" s="7">
        <v>3414.51</v>
      </c>
      <c r="E52" s="7">
        <v>4711.32</v>
      </c>
      <c r="F52" s="7">
        <v>4544.92</v>
      </c>
    </row>
    <row r="53" spans="1:6" ht="26.4" x14ac:dyDescent="0.3">
      <c r="A53" s="6" t="s">
        <v>52</v>
      </c>
      <c r="B53" s="7">
        <v>12349.48</v>
      </c>
      <c r="C53" s="7">
        <v>12824.44</v>
      </c>
      <c r="D53" s="7">
        <v>13818.44</v>
      </c>
      <c r="E53" s="7">
        <v>7569.44</v>
      </c>
      <c r="F53" s="7">
        <v>10331.36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9AAEC-2BC9-4D9E-AB5B-A1F2F440705D}">
  <dimension ref="A1:F39"/>
  <sheetViews>
    <sheetView topLeftCell="A6" workbookViewId="0">
      <selection activeCell="B5" sqref="B5"/>
    </sheetView>
  </sheetViews>
  <sheetFormatPr defaultRowHeight="14.4" x14ac:dyDescent="0.3"/>
  <cols>
    <col min="1" max="1" width="55.109375" bestFit="1" customWidth="1"/>
    <col min="2" max="6" width="9.109375" bestFit="1" customWidth="1"/>
  </cols>
  <sheetData>
    <row r="1" spans="1:6" x14ac:dyDescent="0.3">
      <c r="A1" s="18" t="s">
        <v>53</v>
      </c>
      <c r="B1" s="19">
        <v>45717</v>
      </c>
      <c r="C1" s="19">
        <v>45352</v>
      </c>
      <c r="D1" s="19">
        <v>44986</v>
      </c>
      <c r="E1" s="19">
        <v>44621</v>
      </c>
      <c r="F1" s="19">
        <v>44256</v>
      </c>
    </row>
    <row r="2" spans="1:6" x14ac:dyDescent="0.3">
      <c r="A2" s="20" t="s">
        <v>54</v>
      </c>
      <c r="B2" s="20"/>
      <c r="C2" s="20"/>
      <c r="D2" s="20"/>
      <c r="E2" s="20"/>
      <c r="F2" s="20"/>
    </row>
    <row r="3" spans="1:6" x14ac:dyDescent="0.3">
      <c r="A3" s="21" t="s">
        <v>55</v>
      </c>
      <c r="B3" s="22">
        <v>80942.759999999995</v>
      </c>
      <c r="C3" s="22">
        <v>76274.98</v>
      </c>
      <c r="D3" s="22">
        <v>75826.58</v>
      </c>
      <c r="E3" s="22">
        <v>64618.23</v>
      </c>
      <c r="F3" s="22">
        <v>52835.15</v>
      </c>
    </row>
    <row r="4" spans="1:6" x14ac:dyDescent="0.3">
      <c r="A4" s="23" t="s">
        <v>56</v>
      </c>
      <c r="B4" s="24">
        <v>6289.44</v>
      </c>
      <c r="C4" s="24">
        <v>5959.49</v>
      </c>
      <c r="D4" s="24">
        <v>5581.36</v>
      </c>
      <c r="E4" s="24">
        <v>4536.87</v>
      </c>
      <c r="F4" s="24">
        <v>3882.34</v>
      </c>
    </row>
    <row r="5" spans="1:6" x14ac:dyDescent="0.3">
      <c r="A5" s="21" t="s">
        <v>57</v>
      </c>
      <c r="B5" s="22">
        <v>74653.320000000007</v>
      </c>
      <c r="C5" s="22">
        <v>70315.490000000005</v>
      </c>
      <c r="D5" s="22">
        <v>70245.22</v>
      </c>
      <c r="E5" s="22">
        <v>60081.36</v>
      </c>
      <c r="F5" s="22">
        <v>48952.81</v>
      </c>
    </row>
    <row r="6" spans="1:6" x14ac:dyDescent="0.3">
      <c r="A6" s="21" t="s">
        <v>58</v>
      </c>
      <c r="B6" s="22">
        <v>75323.34</v>
      </c>
      <c r="C6" s="22">
        <v>70881</v>
      </c>
      <c r="D6" s="22">
        <v>70936.850000000006</v>
      </c>
      <c r="E6" s="22">
        <v>60668.09</v>
      </c>
      <c r="F6" s="22">
        <v>49272.78</v>
      </c>
    </row>
    <row r="7" spans="1:6" x14ac:dyDescent="0.3">
      <c r="A7" s="23" t="s">
        <v>59</v>
      </c>
      <c r="B7" s="24">
        <v>2529.69</v>
      </c>
      <c r="C7" s="24">
        <v>2727.84</v>
      </c>
      <c r="D7" s="24">
        <v>1980.49</v>
      </c>
      <c r="E7" s="24">
        <v>1836.35</v>
      </c>
      <c r="F7" s="24">
        <v>2632.56</v>
      </c>
    </row>
    <row r="8" spans="1:6" x14ac:dyDescent="0.3">
      <c r="A8" s="21" t="s">
        <v>60</v>
      </c>
      <c r="B8" s="22">
        <v>77853.03</v>
      </c>
      <c r="C8" s="22">
        <v>73608.84</v>
      </c>
      <c r="D8" s="22">
        <v>72917.34</v>
      </c>
      <c r="E8" s="22">
        <v>62504.44</v>
      </c>
      <c r="F8" s="22">
        <v>51905.34</v>
      </c>
    </row>
    <row r="9" spans="1:6" x14ac:dyDescent="0.3">
      <c r="A9" s="20" t="s">
        <v>61</v>
      </c>
      <c r="B9" s="20"/>
      <c r="C9" s="20"/>
      <c r="D9" s="20"/>
      <c r="E9" s="20"/>
      <c r="F9" s="20"/>
    </row>
    <row r="10" spans="1:6" x14ac:dyDescent="0.3">
      <c r="A10" s="23" t="s">
        <v>62</v>
      </c>
      <c r="B10" s="24">
        <v>23757.33</v>
      </c>
      <c r="C10" s="24">
        <v>21772.58</v>
      </c>
      <c r="D10" s="24">
        <v>20275.990000000002</v>
      </c>
      <c r="E10" s="24">
        <v>16399.939999999999</v>
      </c>
      <c r="F10" s="24">
        <v>13939.84</v>
      </c>
    </row>
    <row r="11" spans="1:6" x14ac:dyDescent="0.3">
      <c r="A11" s="23" t="s">
        <v>63</v>
      </c>
      <c r="B11" s="24">
        <v>8947.0400000000009</v>
      </c>
      <c r="C11" s="24">
        <v>6063.32</v>
      </c>
      <c r="D11" s="24">
        <v>9088.3700000000008</v>
      </c>
      <c r="E11" s="24">
        <v>10671.13</v>
      </c>
      <c r="F11" s="24">
        <v>6836.87</v>
      </c>
    </row>
    <row r="12" spans="1:6" x14ac:dyDescent="0.3">
      <c r="A12" s="23" t="s">
        <v>64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</row>
    <row r="13" spans="1:6" x14ac:dyDescent="0.3">
      <c r="A13" s="23" t="s">
        <v>65</v>
      </c>
      <c r="B13" s="23">
        <v>-725.65</v>
      </c>
      <c r="C13" s="23">
        <v>-588.69000000000005</v>
      </c>
      <c r="D13" s="23">
        <v>-358.59</v>
      </c>
      <c r="E13" s="23">
        <v>-686</v>
      </c>
      <c r="F13" s="23">
        <v>-645.27</v>
      </c>
    </row>
    <row r="14" spans="1:6" x14ac:dyDescent="0.3">
      <c r="A14" s="23" t="s">
        <v>66</v>
      </c>
      <c r="B14" s="24">
        <v>6169.78</v>
      </c>
      <c r="C14" s="24">
        <v>6134.35</v>
      </c>
      <c r="D14" s="24">
        <v>5736.22</v>
      </c>
      <c r="E14" s="24">
        <v>4890.55</v>
      </c>
      <c r="F14" s="24">
        <v>4463.33</v>
      </c>
    </row>
    <row r="15" spans="1:6" x14ac:dyDescent="0.3">
      <c r="A15" s="23" t="s">
        <v>67</v>
      </c>
      <c r="B15" s="23">
        <v>45.06</v>
      </c>
      <c r="C15" s="23">
        <v>45.96</v>
      </c>
      <c r="D15" s="23">
        <v>43.2</v>
      </c>
      <c r="E15" s="23">
        <v>39.36</v>
      </c>
      <c r="F15" s="23">
        <v>44.58</v>
      </c>
    </row>
    <row r="16" spans="1:6" x14ac:dyDescent="0.3">
      <c r="A16" s="23" t="s">
        <v>68</v>
      </c>
      <c r="B16" s="24">
        <v>1646.32</v>
      </c>
      <c r="C16" s="24">
        <v>1816.39</v>
      </c>
      <c r="D16" s="24">
        <v>1809.01</v>
      </c>
      <c r="E16" s="24">
        <v>1732.41</v>
      </c>
      <c r="F16" s="24">
        <v>1645.59</v>
      </c>
    </row>
    <row r="17" spans="1:6" x14ac:dyDescent="0.3">
      <c r="A17" s="23" t="s">
        <v>69</v>
      </c>
      <c r="B17" s="24">
        <v>11196.63</v>
      </c>
      <c r="C17" s="24">
        <v>11245.09</v>
      </c>
      <c r="D17" s="24">
        <v>10529.93</v>
      </c>
      <c r="E17" s="24">
        <v>8734.06</v>
      </c>
      <c r="F17" s="24">
        <v>7675.31</v>
      </c>
    </row>
    <row r="18" spans="1:6" x14ac:dyDescent="0.3">
      <c r="A18" s="21" t="s">
        <v>70</v>
      </c>
      <c r="B18" s="22">
        <v>51036.51</v>
      </c>
      <c r="C18" s="22">
        <v>46489</v>
      </c>
      <c r="D18" s="22">
        <v>47124.13</v>
      </c>
      <c r="E18" s="22">
        <v>41781.449999999997</v>
      </c>
      <c r="F18" s="22">
        <v>33960.25</v>
      </c>
    </row>
    <row r="19" spans="1:6" x14ac:dyDescent="0.3">
      <c r="A19" s="21" t="s">
        <v>71</v>
      </c>
      <c r="B19" s="22">
        <v>26816.52</v>
      </c>
      <c r="C19" s="22">
        <v>27119.84</v>
      </c>
      <c r="D19" s="22">
        <v>25793.21</v>
      </c>
      <c r="E19" s="22">
        <v>20722.990000000002</v>
      </c>
      <c r="F19" s="22">
        <v>17945.09</v>
      </c>
    </row>
    <row r="20" spans="1:6" x14ac:dyDescent="0.3">
      <c r="A20" s="23" t="s">
        <v>72</v>
      </c>
      <c r="B20" s="23">
        <v>0</v>
      </c>
      <c r="C20" s="23">
        <v>-7.57</v>
      </c>
      <c r="D20" s="23">
        <v>72.87</v>
      </c>
      <c r="E20" s="23">
        <v>0</v>
      </c>
      <c r="F20" s="23">
        <v>0</v>
      </c>
    </row>
    <row r="21" spans="1:6" x14ac:dyDescent="0.3">
      <c r="A21" s="21" t="s">
        <v>73</v>
      </c>
      <c r="B21" s="22">
        <v>26816.52</v>
      </c>
      <c r="C21" s="22">
        <v>27112.27</v>
      </c>
      <c r="D21" s="22">
        <v>25866.080000000002</v>
      </c>
      <c r="E21" s="22">
        <v>20722.990000000002</v>
      </c>
      <c r="F21" s="22">
        <v>17945.09</v>
      </c>
    </row>
    <row r="22" spans="1:6" x14ac:dyDescent="0.3">
      <c r="A22" s="20" t="s">
        <v>74</v>
      </c>
      <c r="B22" s="20"/>
      <c r="C22" s="20"/>
      <c r="D22" s="20"/>
      <c r="E22" s="20"/>
      <c r="F22" s="20"/>
    </row>
    <row r="23" spans="1:6" x14ac:dyDescent="0.3">
      <c r="A23" s="23" t="s">
        <v>75</v>
      </c>
      <c r="B23" s="24">
        <v>6509.61</v>
      </c>
      <c r="C23" s="24">
        <v>6165.27</v>
      </c>
      <c r="D23" s="24">
        <v>6450.9</v>
      </c>
      <c r="E23" s="24">
        <v>5306.58</v>
      </c>
      <c r="F23" s="24">
        <v>4463.74</v>
      </c>
    </row>
    <row r="24" spans="1:6" x14ac:dyDescent="0.3">
      <c r="A24" s="23" t="s">
        <v>76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</row>
    <row r="25" spans="1:6" x14ac:dyDescent="0.3">
      <c r="A25" s="23" t="s">
        <v>77</v>
      </c>
      <c r="B25" s="23">
        <v>380.86</v>
      </c>
      <c r="C25" s="23">
        <v>223.25</v>
      </c>
      <c r="D25" s="23">
        <v>-12.5</v>
      </c>
      <c r="E25" s="23">
        <v>-69.239999999999995</v>
      </c>
      <c r="F25" s="23">
        <v>91.55</v>
      </c>
    </row>
    <row r="26" spans="1:6" x14ac:dyDescent="0.3">
      <c r="A26" s="23" t="s">
        <v>78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</row>
    <row r="27" spans="1:6" x14ac:dyDescent="0.3">
      <c r="A27" s="21" t="s">
        <v>79</v>
      </c>
      <c r="B27" s="22">
        <v>6890.47</v>
      </c>
      <c r="C27" s="22">
        <v>6388.52</v>
      </c>
      <c r="D27" s="22">
        <v>6438.4</v>
      </c>
      <c r="E27" s="22">
        <v>5237.34</v>
      </c>
      <c r="F27" s="22">
        <v>4555.29</v>
      </c>
    </row>
    <row r="28" spans="1:6" x14ac:dyDescent="0.3">
      <c r="A28" s="21" t="s">
        <v>80</v>
      </c>
      <c r="B28" s="22">
        <v>19926.05</v>
      </c>
      <c r="C28" s="22">
        <v>20723.75</v>
      </c>
      <c r="D28" s="22">
        <v>19427.68</v>
      </c>
      <c r="E28" s="22">
        <v>15485.65</v>
      </c>
      <c r="F28" s="22">
        <v>13389.8</v>
      </c>
    </row>
    <row r="29" spans="1:6" x14ac:dyDescent="0.3">
      <c r="A29" s="21" t="s">
        <v>81</v>
      </c>
      <c r="B29" s="22">
        <v>19926.05</v>
      </c>
      <c r="C29" s="22">
        <v>20723.75</v>
      </c>
      <c r="D29" s="22">
        <v>19427.68</v>
      </c>
      <c r="E29" s="22">
        <v>15485.65</v>
      </c>
      <c r="F29" s="22">
        <v>13389.8</v>
      </c>
    </row>
    <row r="30" spans="1:6" x14ac:dyDescent="0.3">
      <c r="A30" s="21" t="s">
        <v>82</v>
      </c>
      <c r="B30" s="22">
        <v>34942.06</v>
      </c>
      <c r="C30" s="22">
        <v>20723.75</v>
      </c>
      <c r="D30" s="22">
        <v>19427.68</v>
      </c>
      <c r="E30" s="22">
        <v>15485.65</v>
      </c>
      <c r="F30" s="22">
        <v>13389.8</v>
      </c>
    </row>
    <row r="31" spans="1:6" x14ac:dyDescent="0.3">
      <c r="A31" s="23" t="s">
        <v>8</v>
      </c>
      <c r="B31" s="23">
        <v>-305.85000000000002</v>
      </c>
      <c r="C31" s="23">
        <v>-292.58</v>
      </c>
      <c r="D31" s="23">
        <v>-285.06</v>
      </c>
      <c r="E31" s="23">
        <v>-260.47000000000003</v>
      </c>
      <c r="F31" s="23">
        <v>-221.69</v>
      </c>
    </row>
    <row r="32" spans="1:6" x14ac:dyDescent="0.3">
      <c r="A32" s="21" t="s">
        <v>83</v>
      </c>
      <c r="B32" s="22">
        <v>34746.629999999997</v>
      </c>
      <c r="C32" s="22">
        <v>20458.78</v>
      </c>
      <c r="D32" s="22">
        <v>19191.66</v>
      </c>
      <c r="E32" s="22">
        <v>15242.66</v>
      </c>
      <c r="F32" s="22">
        <v>13161.19</v>
      </c>
    </row>
    <row r="33" spans="1:6" x14ac:dyDescent="0.3">
      <c r="A33" s="20" t="s">
        <v>42</v>
      </c>
      <c r="B33" s="20"/>
      <c r="C33" s="20"/>
      <c r="D33" s="20"/>
      <c r="E33" s="20"/>
      <c r="F33" s="20"/>
    </row>
    <row r="34" spans="1:6" x14ac:dyDescent="0.3">
      <c r="A34" s="20" t="s">
        <v>84</v>
      </c>
      <c r="B34" s="20"/>
      <c r="C34" s="20"/>
      <c r="D34" s="20"/>
      <c r="E34" s="20"/>
      <c r="F34" s="20"/>
    </row>
    <row r="35" spans="1:6" x14ac:dyDescent="0.3">
      <c r="A35" s="23" t="s">
        <v>85</v>
      </c>
      <c r="B35" s="23">
        <v>28</v>
      </c>
      <c r="C35" s="23">
        <v>16</v>
      </c>
      <c r="D35" s="23">
        <v>16</v>
      </c>
      <c r="E35" s="23">
        <v>12</v>
      </c>
      <c r="F35" s="23">
        <v>11</v>
      </c>
    </row>
    <row r="36" spans="1:6" x14ac:dyDescent="0.3">
      <c r="A36" s="23" t="s">
        <v>86</v>
      </c>
      <c r="B36" s="23">
        <v>28</v>
      </c>
      <c r="C36" s="23">
        <v>16</v>
      </c>
      <c r="D36" s="23">
        <v>15</v>
      </c>
      <c r="E36" s="23">
        <v>12</v>
      </c>
      <c r="F36" s="23">
        <v>11</v>
      </c>
    </row>
    <row r="37" spans="1:6" x14ac:dyDescent="0.3">
      <c r="A37" s="20" t="s">
        <v>87</v>
      </c>
      <c r="B37" s="20"/>
      <c r="C37" s="20"/>
      <c r="D37" s="20"/>
      <c r="E37" s="20"/>
      <c r="F37" s="20"/>
    </row>
    <row r="38" spans="1:6" x14ac:dyDescent="0.3">
      <c r="A38" s="23" t="s">
        <v>88</v>
      </c>
      <c r="B38" s="24">
        <v>8133.11</v>
      </c>
      <c r="C38" s="24">
        <v>8388.91</v>
      </c>
      <c r="D38" s="24">
        <v>7448.41</v>
      </c>
      <c r="E38" s="24">
        <v>6469.48</v>
      </c>
      <c r="F38" s="24">
        <v>6152.68</v>
      </c>
    </row>
    <row r="39" spans="1:6" x14ac:dyDescent="0.3">
      <c r="A39" s="23" t="s">
        <v>89</v>
      </c>
      <c r="B39" s="23">
        <v>-19.45</v>
      </c>
      <c r="C39" s="23">
        <v>0</v>
      </c>
      <c r="D39" s="23">
        <v>0</v>
      </c>
      <c r="E39" s="23">
        <v>0</v>
      </c>
      <c r="F39" s="2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150A8-AD18-4ACC-984A-87FB5AA09B2A}">
  <dimension ref="A1:F65"/>
  <sheetViews>
    <sheetView workbookViewId="0">
      <selection activeCell="G2" sqref="G2"/>
    </sheetView>
  </sheetViews>
  <sheetFormatPr defaultRowHeight="14.4" x14ac:dyDescent="0.3"/>
  <cols>
    <col min="1" max="1" width="53.88671875" bestFit="1" customWidth="1"/>
    <col min="2" max="6" width="9.109375" bestFit="1" customWidth="1"/>
  </cols>
  <sheetData>
    <row r="1" spans="1:6" x14ac:dyDescent="0.3">
      <c r="A1" s="25" t="s">
        <v>90</v>
      </c>
      <c r="B1" s="26">
        <v>45717</v>
      </c>
      <c r="C1" s="26">
        <v>45352</v>
      </c>
      <c r="D1" s="26">
        <v>44986</v>
      </c>
      <c r="E1" s="26">
        <v>44621</v>
      </c>
      <c r="F1" s="26">
        <v>44256</v>
      </c>
    </row>
    <row r="2" spans="1:6" x14ac:dyDescent="0.3">
      <c r="A2" s="12" t="s">
        <v>1</v>
      </c>
      <c r="B2" s="13"/>
      <c r="C2" s="13"/>
      <c r="D2" s="13"/>
      <c r="E2" s="13"/>
      <c r="F2" s="13"/>
    </row>
    <row r="3" spans="1:6" x14ac:dyDescent="0.3">
      <c r="A3" s="12" t="s">
        <v>2</v>
      </c>
      <c r="B3" s="13"/>
      <c r="C3" s="13"/>
      <c r="D3" s="13"/>
      <c r="E3" s="13"/>
      <c r="F3" s="13"/>
    </row>
    <row r="4" spans="1:6" x14ac:dyDescent="0.3">
      <c r="A4" s="14" t="s">
        <v>3</v>
      </c>
      <c r="B4" s="15">
        <v>235</v>
      </c>
      <c r="C4" s="15">
        <v>235</v>
      </c>
      <c r="D4" s="15">
        <v>235</v>
      </c>
      <c r="E4" s="15">
        <v>235</v>
      </c>
      <c r="F4" s="15">
        <v>235</v>
      </c>
    </row>
    <row r="5" spans="1:6" x14ac:dyDescent="0.3">
      <c r="A5" s="10" t="s">
        <v>4</v>
      </c>
      <c r="B5" s="11">
        <v>235</v>
      </c>
      <c r="C5" s="11">
        <v>235</v>
      </c>
      <c r="D5" s="11">
        <v>235</v>
      </c>
      <c r="E5" s="11">
        <v>235</v>
      </c>
      <c r="F5" s="11">
        <v>235</v>
      </c>
    </row>
    <row r="6" spans="1:6" x14ac:dyDescent="0.3">
      <c r="A6" s="14" t="s">
        <v>5</v>
      </c>
      <c r="B6" s="16">
        <v>48918</v>
      </c>
      <c r="C6" s="16">
        <v>50738</v>
      </c>
      <c r="D6" s="16">
        <v>49986</v>
      </c>
      <c r="E6" s="16">
        <v>48525</v>
      </c>
      <c r="F6" s="16">
        <v>47199</v>
      </c>
    </row>
    <row r="7" spans="1:6" x14ac:dyDescent="0.3">
      <c r="A7" s="10" t="s">
        <v>6</v>
      </c>
      <c r="B7" s="17">
        <v>48918</v>
      </c>
      <c r="C7" s="17">
        <v>50738</v>
      </c>
      <c r="D7" s="17">
        <v>49986</v>
      </c>
      <c r="E7" s="17">
        <v>48525</v>
      </c>
      <c r="F7" s="17">
        <v>47199</v>
      </c>
    </row>
    <row r="8" spans="1:6" x14ac:dyDescent="0.3">
      <c r="A8" s="10" t="s">
        <v>7</v>
      </c>
      <c r="B8" s="17">
        <v>49153</v>
      </c>
      <c r="C8" s="17">
        <v>50973</v>
      </c>
      <c r="D8" s="17">
        <v>50221</v>
      </c>
      <c r="E8" s="17">
        <v>48760</v>
      </c>
      <c r="F8" s="17">
        <v>47434</v>
      </c>
    </row>
    <row r="9" spans="1:6" x14ac:dyDescent="0.3">
      <c r="A9" s="12" t="s">
        <v>9</v>
      </c>
      <c r="B9" s="13"/>
      <c r="C9" s="13"/>
      <c r="D9" s="13"/>
      <c r="E9" s="13"/>
      <c r="F9" s="13"/>
    </row>
    <row r="10" spans="1:6" x14ac:dyDescent="0.3">
      <c r="A10" s="14" t="s">
        <v>10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</row>
    <row r="11" spans="1:6" x14ac:dyDescent="0.3">
      <c r="A11" s="14" t="s">
        <v>11</v>
      </c>
      <c r="B11" s="16">
        <v>6583</v>
      </c>
      <c r="C11" s="16">
        <v>6454</v>
      </c>
      <c r="D11" s="16">
        <v>6325</v>
      </c>
      <c r="E11" s="16">
        <v>6141</v>
      </c>
      <c r="F11" s="16">
        <v>5986</v>
      </c>
    </row>
    <row r="12" spans="1:6" x14ac:dyDescent="0.3">
      <c r="A12" s="14" t="s">
        <v>12</v>
      </c>
      <c r="B12" s="16">
        <v>5396</v>
      </c>
      <c r="C12" s="16">
        <v>5695</v>
      </c>
      <c r="D12" s="16">
        <v>2317</v>
      </c>
      <c r="E12" s="16">
        <v>2339</v>
      </c>
      <c r="F12" s="16">
        <v>2304</v>
      </c>
    </row>
    <row r="13" spans="1:6" x14ac:dyDescent="0.3">
      <c r="A13" s="14" t="s">
        <v>13</v>
      </c>
      <c r="B13" s="16">
        <v>1509</v>
      </c>
      <c r="C13" s="16">
        <v>1551</v>
      </c>
      <c r="D13" s="16">
        <v>1335</v>
      </c>
      <c r="E13" s="16">
        <v>1553</v>
      </c>
      <c r="F13" s="16">
        <v>1551</v>
      </c>
    </row>
    <row r="14" spans="1:6" x14ac:dyDescent="0.3">
      <c r="A14" s="10" t="s">
        <v>14</v>
      </c>
      <c r="B14" s="17">
        <v>13488</v>
      </c>
      <c r="C14" s="17">
        <v>13700</v>
      </c>
      <c r="D14" s="17">
        <v>9977</v>
      </c>
      <c r="E14" s="17">
        <v>10033</v>
      </c>
      <c r="F14" s="17">
        <v>9841</v>
      </c>
    </row>
    <row r="15" spans="1:6" x14ac:dyDescent="0.3">
      <c r="A15" s="12" t="s">
        <v>15</v>
      </c>
      <c r="B15" s="13"/>
      <c r="C15" s="13"/>
      <c r="D15" s="13"/>
      <c r="E15" s="13"/>
      <c r="F15" s="13"/>
    </row>
    <row r="16" spans="1:6" x14ac:dyDescent="0.3">
      <c r="A16" s="14" t="s">
        <v>16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</row>
    <row r="17" spans="1:6" x14ac:dyDescent="0.3">
      <c r="A17" s="14" t="s">
        <v>17</v>
      </c>
      <c r="B17" s="16">
        <v>10998</v>
      </c>
      <c r="C17" s="16">
        <v>10148</v>
      </c>
      <c r="D17" s="16">
        <v>9391</v>
      </c>
      <c r="E17" s="16">
        <v>8864</v>
      </c>
      <c r="F17" s="16">
        <v>8627</v>
      </c>
    </row>
    <row r="18" spans="1:6" x14ac:dyDescent="0.3">
      <c r="A18" s="14" t="s">
        <v>18</v>
      </c>
      <c r="B18" s="16">
        <v>4013</v>
      </c>
      <c r="C18" s="16">
        <v>1926</v>
      </c>
      <c r="D18" s="16">
        <v>1857</v>
      </c>
      <c r="E18" s="16">
        <v>1746</v>
      </c>
      <c r="F18" s="16">
        <v>1723</v>
      </c>
    </row>
    <row r="19" spans="1:6" x14ac:dyDescent="0.3">
      <c r="A19" s="14" t="s">
        <v>19</v>
      </c>
      <c r="B19" s="15">
        <v>661</v>
      </c>
      <c r="C19" s="15">
        <v>329</v>
      </c>
      <c r="D19" s="15">
        <v>379</v>
      </c>
      <c r="E19" s="15">
        <v>334</v>
      </c>
      <c r="F19" s="15">
        <v>491</v>
      </c>
    </row>
    <row r="20" spans="1:6" x14ac:dyDescent="0.3">
      <c r="A20" s="10" t="s">
        <v>20</v>
      </c>
      <c r="B20" s="17">
        <v>15672</v>
      </c>
      <c r="C20" s="17">
        <v>12403</v>
      </c>
      <c r="D20" s="17">
        <v>11627</v>
      </c>
      <c r="E20" s="17">
        <v>10944</v>
      </c>
      <c r="F20" s="17">
        <v>10841</v>
      </c>
    </row>
    <row r="21" spans="1:6" x14ac:dyDescent="0.3">
      <c r="A21" s="10" t="s">
        <v>21</v>
      </c>
      <c r="B21" s="17">
        <v>78313</v>
      </c>
      <c r="C21" s="17">
        <v>77076</v>
      </c>
      <c r="D21" s="17">
        <v>71825</v>
      </c>
      <c r="E21" s="17">
        <v>69737</v>
      </c>
      <c r="F21" s="17">
        <v>68116</v>
      </c>
    </row>
    <row r="22" spans="1:6" x14ac:dyDescent="0.3">
      <c r="A22" s="12" t="s">
        <v>22</v>
      </c>
      <c r="B22" s="13"/>
      <c r="C22" s="13"/>
      <c r="D22" s="13"/>
      <c r="E22" s="13"/>
      <c r="F22" s="13"/>
    </row>
    <row r="23" spans="1:6" x14ac:dyDescent="0.3">
      <c r="A23" s="12" t="s">
        <v>23</v>
      </c>
      <c r="B23" s="13"/>
      <c r="C23" s="13"/>
      <c r="D23" s="13"/>
      <c r="E23" s="13"/>
      <c r="F23" s="13"/>
    </row>
    <row r="24" spans="1:6" x14ac:dyDescent="0.3">
      <c r="A24" s="14" t="s">
        <v>24</v>
      </c>
      <c r="B24" s="16">
        <v>7710</v>
      </c>
      <c r="C24" s="16">
        <v>7178</v>
      </c>
      <c r="D24" s="16">
        <v>6189</v>
      </c>
      <c r="E24" s="16">
        <v>5813</v>
      </c>
      <c r="F24" s="16">
        <v>5786</v>
      </c>
    </row>
    <row r="25" spans="1:6" x14ac:dyDescent="0.3">
      <c r="A25" s="14" t="s">
        <v>25</v>
      </c>
      <c r="B25" s="16">
        <v>45197</v>
      </c>
      <c r="C25" s="16">
        <v>45201</v>
      </c>
      <c r="D25" s="16">
        <v>45216</v>
      </c>
      <c r="E25" s="16">
        <v>45221</v>
      </c>
      <c r="F25" s="16">
        <v>45241</v>
      </c>
    </row>
    <row r="26" spans="1:6" x14ac:dyDescent="0.3">
      <c r="A26" s="14" t="s">
        <v>26</v>
      </c>
      <c r="B26" s="15">
        <v>956</v>
      </c>
      <c r="C26" s="15">
        <v>915</v>
      </c>
      <c r="D26" s="16">
        <v>1020</v>
      </c>
      <c r="E26" s="15">
        <v>901</v>
      </c>
      <c r="F26" s="15">
        <v>623</v>
      </c>
    </row>
    <row r="27" spans="1:6" x14ac:dyDescent="0.3">
      <c r="A27" s="14" t="s">
        <v>91</v>
      </c>
      <c r="B27" s="15">
        <v>0</v>
      </c>
      <c r="C27" s="15">
        <v>0</v>
      </c>
      <c r="D27" s="15">
        <v>0</v>
      </c>
      <c r="E27" s="15">
        <v>0</v>
      </c>
      <c r="F27" s="15">
        <v>0</v>
      </c>
    </row>
    <row r="28" spans="1:6" x14ac:dyDescent="0.3">
      <c r="A28" s="10" t="s">
        <v>27</v>
      </c>
      <c r="B28" s="17">
        <v>53863</v>
      </c>
      <c r="C28" s="17">
        <v>53294</v>
      </c>
      <c r="D28" s="17">
        <v>52425</v>
      </c>
      <c r="E28" s="17">
        <v>51935</v>
      </c>
      <c r="F28" s="17">
        <v>51650</v>
      </c>
    </row>
    <row r="29" spans="1:6" x14ac:dyDescent="0.3">
      <c r="A29" s="14" t="s">
        <v>28</v>
      </c>
      <c r="B29" s="15">
        <v>988</v>
      </c>
      <c r="C29" s="15">
        <v>983</v>
      </c>
      <c r="D29" s="15">
        <v>983</v>
      </c>
      <c r="E29" s="15">
        <v>612</v>
      </c>
      <c r="F29" s="15">
        <v>312</v>
      </c>
    </row>
    <row r="30" spans="1:6" x14ac:dyDescent="0.3">
      <c r="A30" s="14" t="s">
        <v>29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</row>
    <row r="31" spans="1:6" x14ac:dyDescent="0.3">
      <c r="A31" s="14" t="s">
        <v>30</v>
      </c>
      <c r="B31" s="15">
        <v>332</v>
      </c>
      <c r="C31" s="15">
        <v>392</v>
      </c>
      <c r="D31" s="15">
        <v>339</v>
      </c>
      <c r="E31" s="15">
        <v>541</v>
      </c>
      <c r="F31" s="15">
        <v>520</v>
      </c>
    </row>
    <row r="32" spans="1:6" x14ac:dyDescent="0.3">
      <c r="A32" s="14" t="s">
        <v>31</v>
      </c>
      <c r="B32" s="16">
        <v>2231</v>
      </c>
      <c r="C32" s="16">
        <v>2111</v>
      </c>
      <c r="D32" s="16">
        <v>2029</v>
      </c>
      <c r="E32" s="16">
        <v>2002</v>
      </c>
      <c r="F32" s="16">
        <v>1994</v>
      </c>
    </row>
    <row r="33" spans="1:6" x14ac:dyDescent="0.3">
      <c r="A33" s="10" t="s">
        <v>32</v>
      </c>
      <c r="B33" s="17">
        <v>57414</v>
      </c>
      <c r="C33" s="17">
        <v>56780</v>
      </c>
      <c r="D33" s="17">
        <v>55776</v>
      </c>
      <c r="E33" s="17">
        <v>55090</v>
      </c>
      <c r="F33" s="17">
        <v>54476</v>
      </c>
    </row>
    <row r="34" spans="1:6" x14ac:dyDescent="0.3">
      <c r="A34" s="12" t="s">
        <v>33</v>
      </c>
      <c r="B34" s="13"/>
      <c r="C34" s="13"/>
      <c r="D34" s="13"/>
      <c r="E34" s="13"/>
      <c r="F34" s="13"/>
    </row>
    <row r="35" spans="1:6" x14ac:dyDescent="0.3">
      <c r="A35" s="14" t="s">
        <v>34</v>
      </c>
      <c r="B35" s="16">
        <v>3614</v>
      </c>
      <c r="C35" s="16">
        <v>4510</v>
      </c>
      <c r="D35" s="16">
        <v>2811</v>
      </c>
      <c r="E35" s="16">
        <v>3510</v>
      </c>
      <c r="F35" s="16">
        <v>2683</v>
      </c>
    </row>
    <row r="36" spans="1:6" x14ac:dyDescent="0.3">
      <c r="A36" s="14" t="s">
        <v>35</v>
      </c>
      <c r="B36" s="16">
        <v>4161</v>
      </c>
      <c r="C36" s="16">
        <v>3812</v>
      </c>
      <c r="D36" s="16">
        <v>4031</v>
      </c>
      <c r="E36" s="16">
        <v>3890</v>
      </c>
      <c r="F36" s="16">
        <v>3383</v>
      </c>
    </row>
    <row r="37" spans="1:6" x14ac:dyDescent="0.3">
      <c r="A37" s="14" t="s">
        <v>36</v>
      </c>
      <c r="B37" s="16">
        <v>3450</v>
      </c>
      <c r="C37" s="16">
        <v>2690</v>
      </c>
      <c r="D37" s="16">
        <v>2735</v>
      </c>
      <c r="E37" s="16">
        <v>1932</v>
      </c>
      <c r="F37" s="16">
        <v>1648</v>
      </c>
    </row>
    <row r="38" spans="1:6" x14ac:dyDescent="0.3">
      <c r="A38" s="14" t="s">
        <v>37</v>
      </c>
      <c r="B38" s="16">
        <v>7293</v>
      </c>
      <c r="C38" s="16">
        <v>7216</v>
      </c>
      <c r="D38" s="16">
        <v>4422</v>
      </c>
      <c r="E38" s="16">
        <v>3618</v>
      </c>
      <c r="F38" s="16">
        <v>4321</v>
      </c>
    </row>
    <row r="39" spans="1:6" x14ac:dyDescent="0.3">
      <c r="A39" s="14" t="s">
        <v>38</v>
      </c>
      <c r="B39" s="15">
        <v>45</v>
      </c>
      <c r="C39" s="15">
        <v>37</v>
      </c>
      <c r="D39" s="15">
        <v>35</v>
      </c>
      <c r="E39" s="15">
        <v>34</v>
      </c>
      <c r="F39" s="15">
        <v>0</v>
      </c>
    </row>
    <row r="40" spans="1:6" x14ac:dyDescent="0.3">
      <c r="A40" s="14" t="s">
        <v>39</v>
      </c>
      <c r="B40" s="16">
        <v>2336</v>
      </c>
      <c r="C40" s="16">
        <v>2031</v>
      </c>
      <c r="D40" s="16">
        <v>2015</v>
      </c>
      <c r="E40" s="16">
        <v>1663</v>
      </c>
      <c r="F40" s="16">
        <v>1605</v>
      </c>
    </row>
    <row r="41" spans="1:6" x14ac:dyDescent="0.3">
      <c r="A41" s="10" t="s">
        <v>40</v>
      </c>
      <c r="B41" s="17">
        <v>20899</v>
      </c>
      <c r="C41" s="17">
        <v>20296</v>
      </c>
      <c r="D41" s="17">
        <v>16049</v>
      </c>
      <c r="E41" s="17">
        <v>14647</v>
      </c>
      <c r="F41" s="17">
        <v>13640</v>
      </c>
    </row>
    <row r="42" spans="1:6" x14ac:dyDescent="0.3">
      <c r="A42" s="10" t="s">
        <v>41</v>
      </c>
      <c r="B42" s="17">
        <v>78313</v>
      </c>
      <c r="C42" s="17">
        <v>77076</v>
      </c>
      <c r="D42" s="17">
        <v>71825</v>
      </c>
      <c r="E42" s="17">
        <v>69737</v>
      </c>
      <c r="F42" s="17">
        <v>68116</v>
      </c>
    </row>
    <row r="43" spans="1:6" x14ac:dyDescent="0.3">
      <c r="A43" s="12" t="s">
        <v>42</v>
      </c>
      <c r="B43" s="13"/>
      <c r="C43" s="13"/>
      <c r="D43" s="13"/>
      <c r="E43" s="13"/>
      <c r="F43" s="13"/>
    </row>
    <row r="44" spans="1:6" x14ac:dyDescent="0.3">
      <c r="A44" s="12" t="s">
        <v>43</v>
      </c>
      <c r="B44" s="13"/>
      <c r="C44" s="13"/>
      <c r="D44" s="13"/>
      <c r="E44" s="13"/>
      <c r="F44" s="13"/>
    </row>
    <row r="45" spans="1:6" x14ac:dyDescent="0.3">
      <c r="A45" s="14" t="s">
        <v>44</v>
      </c>
      <c r="B45" s="16">
        <v>2850</v>
      </c>
      <c r="C45" s="16">
        <v>2836</v>
      </c>
      <c r="D45" s="16">
        <v>3137</v>
      </c>
      <c r="E45" s="16">
        <v>2814</v>
      </c>
      <c r="F45" s="16">
        <v>2692</v>
      </c>
    </row>
    <row r="46" spans="1:6" x14ac:dyDescent="0.3">
      <c r="A46" s="12" t="s">
        <v>92</v>
      </c>
      <c r="B46" s="13"/>
      <c r="C46" s="13"/>
      <c r="D46" s="13"/>
      <c r="E46" s="13"/>
      <c r="F46" s="13"/>
    </row>
    <row r="47" spans="1:6" x14ac:dyDescent="0.3">
      <c r="A47" s="14" t="s">
        <v>93</v>
      </c>
      <c r="B47" s="15">
        <v>0</v>
      </c>
      <c r="C47" s="15">
        <v>0</v>
      </c>
      <c r="D47" s="15">
        <v>0</v>
      </c>
      <c r="E47" s="15">
        <v>0</v>
      </c>
      <c r="F47" s="15">
        <v>0</v>
      </c>
    </row>
    <row r="48" spans="1:6" x14ac:dyDescent="0.3">
      <c r="A48" s="14" t="s">
        <v>94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</row>
    <row r="49" spans="1:6" x14ac:dyDescent="0.3">
      <c r="A49" s="14" t="s">
        <v>95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</row>
    <row r="50" spans="1:6" x14ac:dyDescent="0.3">
      <c r="A50" s="14" t="s">
        <v>96</v>
      </c>
      <c r="B50" s="15">
        <v>0</v>
      </c>
      <c r="C50" s="15">
        <v>0</v>
      </c>
      <c r="D50" s="15">
        <v>0</v>
      </c>
      <c r="E50" s="15">
        <v>0</v>
      </c>
      <c r="F50" s="15">
        <v>0</v>
      </c>
    </row>
    <row r="51" spans="1:6" x14ac:dyDescent="0.3">
      <c r="A51" s="12" t="s">
        <v>97</v>
      </c>
      <c r="B51" s="13"/>
      <c r="C51" s="13"/>
      <c r="D51" s="13"/>
      <c r="E51" s="13"/>
      <c r="F51" s="13"/>
    </row>
    <row r="52" spans="1:6" x14ac:dyDescent="0.3">
      <c r="A52" s="14" t="s">
        <v>98</v>
      </c>
      <c r="B52" s="16">
        <v>6281</v>
      </c>
      <c r="C52" s="16">
        <v>4463</v>
      </c>
      <c r="D52" s="16">
        <v>3695</v>
      </c>
      <c r="E52" s="16">
        <v>3131</v>
      </c>
      <c r="F52" s="16">
        <v>2635</v>
      </c>
    </row>
    <row r="53" spans="1:6" x14ac:dyDescent="0.3">
      <c r="A53" s="12" t="s">
        <v>99</v>
      </c>
      <c r="B53" s="13"/>
      <c r="C53" s="13"/>
      <c r="D53" s="13"/>
      <c r="E53" s="13"/>
      <c r="F53" s="13"/>
    </row>
    <row r="54" spans="1:6" x14ac:dyDescent="0.3">
      <c r="A54" s="14" t="s">
        <v>100</v>
      </c>
      <c r="B54" s="15" t="s">
        <v>101</v>
      </c>
      <c r="C54" s="15" t="s">
        <v>101</v>
      </c>
      <c r="D54" s="15" t="s">
        <v>101</v>
      </c>
      <c r="E54" s="15" t="s">
        <v>101</v>
      </c>
      <c r="F54" s="15" t="s">
        <v>101</v>
      </c>
    </row>
    <row r="55" spans="1:6" x14ac:dyDescent="0.3">
      <c r="A55" s="12" t="s">
        <v>102</v>
      </c>
      <c r="B55" s="13"/>
      <c r="C55" s="13"/>
      <c r="D55" s="13"/>
      <c r="E55" s="13"/>
      <c r="F55" s="13"/>
    </row>
    <row r="56" spans="1:6" x14ac:dyDescent="0.3">
      <c r="A56" s="14" t="s">
        <v>103</v>
      </c>
      <c r="B56" s="15" t="s">
        <v>101</v>
      </c>
      <c r="C56" s="15" t="s">
        <v>101</v>
      </c>
      <c r="D56" s="15" t="s">
        <v>101</v>
      </c>
      <c r="E56" s="15" t="s">
        <v>101</v>
      </c>
      <c r="F56" s="15" t="s">
        <v>101</v>
      </c>
    </row>
    <row r="57" spans="1:6" x14ac:dyDescent="0.3">
      <c r="A57" s="14" t="s">
        <v>104</v>
      </c>
      <c r="B57" s="16">
        <v>1485</v>
      </c>
      <c r="C57" s="16">
        <v>1497</v>
      </c>
      <c r="D57" s="16">
        <v>1574</v>
      </c>
      <c r="E57" s="16">
        <v>1527</v>
      </c>
      <c r="F57" s="15">
        <v>247</v>
      </c>
    </row>
    <row r="58" spans="1:6" x14ac:dyDescent="0.3">
      <c r="A58" s="12" t="s">
        <v>45</v>
      </c>
      <c r="B58" s="13"/>
      <c r="C58" s="13"/>
      <c r="D58" s="13"/>
      <c r="E58" s="13"/>
      <c r="F58" s="13"/>
    </row>
    <row r="59" spans="1:6" x14ac:dyDescent="0.3">
      <c r="A59" s="14" t="s">
        <v>46</v>
      </c>
      <c r="B59" s="15">
        <v>131.69</v>
      </c>
      <c r="C59" s="15">
        <v>131.69</v>
      </c>
      <c r="D59" s="15">
        <v>131.69</v>
      </c>
      <c r="E59" s="15">
        <v>131.69</v>
      </c>
      <c r="F59" s="15">
        <v>131.69</v>
      </c>
    </row>
    <row r="60" spans="1:6" x14ac:dyDescent="0.3">
      <c r="A60" s="12" t="s">
        <v>47</v>
      </c>
      <c r="B60" s="13"/>
      <c r="C60" s="13"/>
      <c r="D60" s="13"/>
      <c r="E60" s="13"/>
      <c r="F60" s="13"/>
    </row>
    <row r="61" spans="1:6" x14ac:dyDescent="0.3">
      <c r="A61" s="14" t="s">
        <v>48</v>
      </c>
      <c r="B61" s="15" t="s">
        <v>101</v>
      </c>
      <c r="C61" s="15" t="s">
        <v>101</v>
      </c>
      <c r="D61" s="15" t="s">
        <v>101</v>
      </c>
      <c r="E61" s="15" t="s">
        <v>101</v>
      </c>
      <c r="F61" s="15" t="s">
        <v>101</v>
      </c>
    </row>
    <row r="62" spans="1:6" x14ac:dyDescent="0.3">
      <c r="A62" s="14" t="s">
        <v>49</v>
      </c>
      <c r="B62" s="15">
        <v>2</v>
      </c>
      <c r="C62" s="15">
        <v>1</v>
      </c>
      <c r="D62" s="15">
        <v>1</v>
      </c>
      <c r="E62" s="15">
        <v>2</v>
      </c>
      <c r="F62" s="15">
        <v>2</v>
      </c>
    </row>
    <row r="63" spans="1:6" x14ac:dyDescent="0.3">
      <c r="A63" s="12" t="s">
        <v>50</v>
      </c>
      <c r="B63" s="13"/>
      <c r="C63" s="13"/>
      <c r="D63" s="13"/>
      <c r="E63" s="13"/>
      <c r="F63" s="13"/>
    </row>
    <row r="64" spans="1:6" x14ac:dyDescent="0.3">
      <c r="A64" s="14" t="s">
        <v>51</v>
      </c>
      <c r="B64" s="16">
        <v>3614</v>
      </c>
      <c r="C64" s="16">
        <v>4510</v>
      </c>
      <c r="D64" s="16">
        <v>2811</v>
      </c>
      <c r="E64" s="16">
        <v>3510</v>
      </c>
      <c r="F64" s="16">
        <v>2683</v>
      </c>
    </row>
    <row r="65" spans="1:6" x14ac:dyDescent="0.3">
      <c r="A65" s="14" t="s">
        <v>52</v>
      </c>
      <c r="B65" s="15" t="s">
        <v>101</v>
      </c>
      <c r="C65" s="15">
        <v>2</v>
      </c>
      <c r="D65" s="15">
        <v>2</v>
      </c>
      <c r="E65" s="15" t="s">
        <v>101</v>
      </c>
      <c r="F65" s="15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2882C-164E-428F-BBFD-798216E55A64}">
  <dimension ref="A1:F39"/>
  <sheetViews>
    <sheetView topLeftCell="A8" workbookViewId="0">
      <selection sqref="A1:F1"/>
    </sheetView>
  </sheetViews>
  <sheetFormatPr defaultRowHeight="14.4" x14ac:dyDescent="0.3"/>
  <cols>
    <col min="1" max="1" width="55.109375" bestFit="1" customWidth="1"/>
    <col min="2" max="6" width="9.109375" bestFit="1" customWidth="1"/>
  </cols>
  <sheetData>
    <row r="1" spans="1:6" x14ac:dyDescent="0.3">
      <c r="A1" s="25" t="s">
        <v>105</v>
      </c>
      <c r="B1" s="26">
        <v>45717</v>
      </c>
      <c r="C1" s="26">
        <v>45352</v>
      </c>
      <c r="D1" s="26">
        <v>44986</v>
      </c>
      <c r="E1" s="26">
        <v>44621</v>
      </c>
      <c r="F1" s="26">
        <v>44256</v>
      </c>
    </row>
    <row r="2" spans="1:6" x14ac:dyDescent="0.3">
      <c r="A2" s="12" t="s">
        <v>54</v>
      </c>
      <c r="B2" s="13"/>
      <c r="C2" s="13"/>
      <c r="D2" s="13"/>
      <c r="E2" s="13"/>
      <c r="F2" s="13"/>
    </row>
    <row r="3" spans="1:6" x14ac:dyDescent="0.3">
      <c r="A3" s="10" t="s">
        <v>55</v>
      </c>
      <c r="B3" s="17">
        <v>62288</v>
      </c>
      <c r="C3" s="17">
        <v>60966</v>
      </c>
      <c r="D3" s="17">
        <v>59549</v>
      </c>
      <c r="E3" s="17">
        <v>51548</v>
      </c>
      <c r="F3" s="17">
        <v>46321</v>
      </c>
    </row>
    <row r="4" spans="1:6" x14ac:dyDescent="0.3">
      <c r="A4" s="14" t="s">
        <v>56</v>
      </c>
      <c r="B4" s="15">
        <v>0</v>
      </c>
      <c r="C4" s="15">
        <v>0</v>
      </c>
      <c r="D4" s="15">
        <v>0</v>
      </c>
      <c r="E4" s="15">
        <v>0</v>
      </c>
      <c r="F4" s="15">
        <v>0</v>
      </c>
    </row>
    <row r="5" spans="1:6" x14ac:dyDescent="0.3">
      <c r="A5" s="10" t="s">
        <v>57</v>
      </c>
      <c r="B5" s="17">
        <v>62288</v>
      </c>
      <c r="C5" s="17">
        <v>60966</v>
      </c>
      <c r="D5" s="17">
        <v>59549</v>
      </c>
      <c r="E5" s="17">
        <v>51548</v>
      </c>
      <c r="F5" s="17">
        <v>46321</v>
      </c>
    </row>
    <row r="6" spans="1:6" x14ac:dyDescent="0.3">
      <c r="A6" s="10" t="s">
        <v>58</v>
      </c>
      <c r="B6" s="17">
        <v>63121</v>
      </c>
      <c r="C6" s="17">
        <v>61896</v>
      </c>
      <c r="D6" s="17">
        <v>60580</v>
      </c>
      <c r="E6" s="17">
        <v>52446</v>
      </c>
      <c r="F6" s="17">
        <v>47028</v>
      </c>
    </row>
    <row r="7" spans="1:6" x14ac:dyDescent="0.3">
      <c r="A7" s="14" t="s">
        <v>59</v>
      </c>
      <c r="B7" s="16">
        <v>1017</v>
      </c>
      <c r="C7" s="15">
        <v>811</v>
      </c>
      <c r="D7" s="15">
        <v>512</v>
      </c>
      <c r="E7" s="15">
        <v>258</v>
      </c>
      <c r="F7" s="15">
        <v>410</v>
      </c>
    </row>
    <row r="8" spans="1:6" x14ac:dyDescent="0.3">
      <c r="A8" s="10" t="s">
        <v>60</v>
      </c>
      <c r="B8" s="17">
        <v>64138</v>
      </c>
      <c r="C8" s="17">
        <v>62707</v>
      </c>
      <c r="D8" s="17">
        <v>61092</v>
      </c>
      <c r="E8" s="17">
        <v>52704</v>
      </c>
      <c r="F8" s="17">
        <v>47438</v>
      </c>
    </row>
    <row r="9" spans="1:6" x14ac:dyDescent="0.3">
      <c r="A9" s="12" t="s">
        <v>61</v>
      </c>
      <c r="B9" s="13"/>
      <c r="C9" s="13"/>
      <c r="D9" s="13"/>
      <c r="E9" s="13"/>
      <c r="F9" s="13"/>
    </row>
    <row r="10" spans="1:6" x14ac:dyDescent="0.3">
      <c r="A10" s="14" t="s">
        <v>62</v>
      </c>
      <c r="B10" s="16">
        <v>19458</v>
      </c>
      <c r="C10" s="16">
        <v>19257</v>
      </c>
      <c r="D10" s="16">
        <v>20212</v>
      </c>
      <c r="E10" s="16">
        <v>16446</v>
      </c>
      <c r="F10" s="16">
        <v>15432</v>
      </c>
    </row>
    <row r="11" spans="1:6" x14ac:dyDescent="0.3">
      <c r="A11" s="14" t="s">
        <v>63</v>
      </c>
      <c r="B11" s="16">
        <v>11273</v>
      </c>
      <c r="C11" s="16">
        <v>10514</v>
      </c>
      <c r="D11" s="16">
        <v>11579</v>
      </c>
      <c r="E11" s="16">
        <v>9311</v>
      </c>
      <c r="F11" s="16">
        <v>7121</v>
      </c>
    </row>
    <row r="12" spans="1:6" x14ac:dyDescent="0.3">
      <c r="A12" s="14" t="s">
        <v>64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</row>
    <row r="13" spans="1:6" x14ac:dyDescent="0.3">
      <c r="A13" s="14" t="s">
        <v>65</v>
      </c>
      <c r="B13" s="15">
        <v>-153</v>
      </c>
      <c r="C13" s="15">
        <v>-11</v>
      </c>
      <c r="D13" s="15">
        <v>-75</v>
      </c>
      <c r="E13" s="15">
        <v>-22</v>
      </c>
      <c r="F13" s="15">
        <v>-405</v>
      </c>
    </row>
    <row r="14" spans="1:6" x14ac:dyDescent="0.3">
      <c r="A14" s="14" t="s">
        <v>66</v>
      </c>
      <c r="B14" s="16">
        <v>3077</v>
      </c>
      <c r="C14" s="16">
        <v>3009</v>
      </c>
      <c r="D14" s="16">
        <v>2854</v>
      </c>
      <c r="E14" s="16">
        <v>2545</v>
      </c>
      <c r="F14" s="16">
        <v>2358</v>
      </c>
    </row>
    <row r="15" spans="1:6" x14ac:dyDescent="0.3">
      <c r="A15" s="14" t="s">
        <v>67</v>
      </c>
      <c r="B15" s="15">
        <v>395</v>
      </c>
      <c r="C15" s="15">
        <v>334</v>
      </c>
      <c r="D15" s="15">
        <v>114</v>
      </c>
      <c r="E15" s="15">
        <v>106</v>
      </c>
      <c r="F15" s="15">
        <v>117</v>
      </c>
    </row>
    <row r="16" spans="1:6" x14ac:dyDescent="0.3">
      <c r="A16" s="14" t="s">
        <v>68</v>
      </c>
      <c r="B16" s="16">
        <v>1355</v>
      </c>
      <c r="C16" s="16">
        <v>1216</v>
      </c>
      <c r="D16" s="16">
        <v>1137</v>
      </c>
      <c r="E16" s="16">
        <v>1091</v>
      </c>
      <c r="F16" s="16">
        <v>1074</v>
      </c>
    </row>
    <row r="17" spans="1:6" x14ac:dyDescent="0.3">
      <c r="A17" s="14" t="s">
        <v>69</v>
      </c>
      <c r="B17" s="16">
        <v>14615</v>
      </c>
      <c r="C17" s="16">
        <v>14464</v>
      </c>
      <c r="D17" s="16">
        <v>11861</v>
      </c>
      <c r="E17" s="16">
        <v>11309</v>
      </c>
      <c r="F17" s="16">
        <v>10896</v>
      </c>
    </row>
    <row r="18" spans="1:6" x14ac:dyDescent="0.3">
      <c r="A18" s="10" t="s">
        <v>70</v>
      </c>
      <c r="B18" s="17">
        <v>50020</v>
      </c>
      <c r="C18" s="17">
        <v>48783</v>
      </c>
      <c r="D18" s="17">
        <v>47682</v>
      </c>
      <c r="E18" s="17">
        <v>40786</v>
      </c>
      <c r="F18" s="17">
        <v>36593</v>
      </c>
    </row>
    <row r="19" spans="1:6" x14ac:dyDescent="0.3">
      <c r="A19" s="10" t="s">
        <v>71</v>
      </c>
      <c r="B19" s="17">
        <v>14118</v>
      </c>
      <c r="C19" s="17">
        <v>13924</v>
      </c>
      <c r="D19" s="17">
        <v>13410</v>
      </c>
      <c r="E19" s="17">
        <v>11918</v>
      </c>
      <c r="F19" s="17">
        <v>10845</v>
      </c>
    </row>
    <row r="20" spans="1:6" x14ac:dyDescent="0.3">
      <c r="A20" s="14" t="s">
        <v>72</v>
      </c>
      <c r="B20" s="15">
        <v>305</v>
      </c>
      <c r="C20" s="15">
        <v>6</v>
      </c>
      <c r="D20" s="15">
        <v>-64</v>
      </c>
      <c r="E20" s="15">
        <v>-44</v>
      </c>
      <c r="F20" s="15">
        <v>-239</v>
      </c>
    </row>
    <row r="21" spans="1:6" x14ac:dyDescent="0.3">
      <c r="A21" s="10" t="s">
        <v>73</v>
      </c>
      <c r="B21" s="17">
        <v>14423</v>
      </c>
      <c r="C21" s="17">
        <v>13930</v>
      </c>
      <c r="D21" s="17">
        <v>13346</v>
      </c>
      <c r="E21" s="17">
        <v>11874</v>
      </c>
      <c r="F21" s="17">
        <v>10606</v>
      </c>
    </row>
    <row r="22" spans="1:6" x14ac:dyDescent="0.3">
      <c r="A22" s="12" t="s">
        <v>74</v>
      </c>
      <c r="B22" s="13"/>
      <c r="C22" s="13"/>
      <c r="D22" s="13"/>
      <c r="E22" s="13"/>
      <c r="F22" s="13"/>
    </row>
    <row r="23" spans="1:6" x14ac:dyDescent="0.3">
      <c r="A23" s="14" t="s">
        <v>75</v>
      </c>
      <c r="B23" s="16">
        <v>3620</v>
      </c>
      <c r="C23" s="16">
        <v>3521</v>
      </c>
      <c r="D23" s="16">
        <v>3001</v>
      </c>
      <c r="E23" s="16">
        <v>2840</v>
      </c>
      <c r="F23" s="16">
        <v>2520</v>
      </c>
    </row>
    <row r="24" spans="1:6" x14ac:dyDescent="0.3">
      <c r="A24" s="14" t="s">
        <v>76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</row>
    <row r="25" spans="1:6" x14ac:dyDescent="0.3">
      <c r="A25" s="14" t="s">
        <v>77</v>
      </c>
      <c r="B25" s="15">
        <v>124</v>
      </c>
      <c r="C25" s="15">
        <v>123</v>
      </c>
      <c r="D25" s="15">
        <v>200</v>
      </c>
      <c r="E25" s="15">
        <v>147</v>
      </c>
      <c r="F25" s="15">
        <v>86</v>
      </c>
    </row>
    <row r="26" spans="1:6" x14ac:dyDescent="0.3">
      <c r="A26" s="14" t="s">
        <v>78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</row>
    <row r="27" spans="1:6" x14ac:dyDescent="0.3">
      <c r="A27" s="10" t="s">
        <v>79</v>
      </c>
      <c r="B27" s="17">
        <v>3744</v>
      </c>
      <c r="C27" s="17">
        <v>3644</v>
      </c>
      <c r="D27" s="17">
        <v>3201</v>
      </c>
      <c r="E27" s="17">
        <v>2987</v>
      </c>
      <c r="F27" s="17">
        <v>2606</v>
      </c>
    </row>
    <row r="28" spans="1:6" x14ac:dyDescent="0.3">
      <c r="A28" s="10" t="s">
        <v>80</v>
      </c>
      <c r="B28" s="17">
        <v>10679</v>
      </c>
      <c r="C28" s="17">
        <v>10286</v>
      </c>
      <c r="D28" s="17">
        <v>10145</v>
      </c>
      <c r="E28" s="17">
        <v>8887</v>
      </c>
      <c r="F28" s="17">
        <v>8000</v>
      </c>
    </row>
    <row r="29" spans="1:6" x14ac:dyDescent="0.3">
      <c r="A29" s="10" t="s">
        <v>81</v>
      </c>
      <c r="B29" s="17">
        <v>10679</v>
      </c>
      <c r="C29" s="17">
        <v>10286</v>
      </c>
      <c r="D29" s="17">
        <v>10145</v>
      </c>
      <c r="E29" s="17">
        <v>8887</v>
      </c>
      <c r="F29" s="17">
        <v>8000</v>
      </c>
    </row>
    <row r="30" spans="1:6" x14ac:dyDescent="0.3">
      <c r="A30" s="10" t="s">
        <v>82</v>
      </c>
      <c r="B30" s="17">
        <v>10679</v>
      </c>
      <c r="C30" s="17">
        <v>10286</v>
      </c>
      <c r="D30" s="17">
        <v>10144</v>
      </c>
      <c r="E30" s="17">
        <v>8892</v>
      </c>
      <c r="F30" s="17">
        <v>7999</v>
      </c>
    </row>
    <row r="31" spans="1:6" x14ac:dyDescent="0.3">
      <c r="A31" s="14" t="s">
        <v>8</v>
      </c>
      <c r="B31" s="15">
        <v>-22</v>
      </c>
      <c r="C31" s="15">
        <v>-5</v>
      </c>
      <c r="D31" s="15">
        <v>-23</v>
      </c>
      <c r="E31" s="15">
        <v>-13</v>
      </c>
      <c r="F31" s="15">
        <v>-4</v>
      </c>
    </row>
    <row r="32" spans="1:6" x14ac:dyDescent="0.3">
      <c r="A32" s="10" t="s">
        <v>83</v>
      </c>
      <c r="B32" s="17">
        <v>10649</v>
      </c>
      <c r="C32" s="17">
        <v>10277</v>
      </c>
      <c r="D32" s="17">
        <v>10120</v>
      </c>
      <c r="E32" s="17">
        <v>8879</v>
      </c>
      <c r="F32" s="17">
        <v>7995</v>
      </c>
    </row>
    <row r="33" spans="1:6" x14ac:dyDescent="0.3">
      <c r="A33" s="12" t="s">
        <v>42</v>
      </c>
      <c r="B33" s="13"/>
      <c r="C33" s="13"/>
      <c r="D33" s="13"/>
      <c r="E33" s="13"/>
      <c r="F33" s="13"/>
    </row>
    <row r="34" spans="1:6" x14ac:dyDescent="0.3">
      <c r="A34" s="12" t="s">
        <v>84</v>
      </c>
      <c r="B34" s="13"/>
      <c r="C34" s="13"/>
      <c r="D34" s="13"/>
      <c r="E34" s="13"/>
      <c r="F34" s="13"/>
    </row>
    <row r="35" spans="1:6" x14ac:dyDescent="0.3">
      <c r="A35" s="14" t="s">
        <v>85</v>
      </c>
      <c r="B35" s="15">
        <v>45</v>
      </c>
      <c r="C35" s="15">
        <v>44</v>
      </c>
      <c r="D35" s="15">
        <v>43</v>
      </c>
      <c r="E35" s="15">
        <v>38</v>
      </c>
      <c r="F35" s="15">
        <v>34</v>
      </c>
    </row>
    <row r="36" spans="1:6" x14ac:dyDescent="0.3">
      <c r="A36" s="14" t="s">
        <v>86</v>
      </c>
      <c r="B36" s="15">
        <v>45</v>
      </c>
      <c r="C36" s="15">
        <v>44</v>
      </c>
      <c r="D36" s="15">
        <v>43</v>
      </c>
      <c r="E36" s="15">
        <v>38</v>
      </c>
      <c r="F36" s="15">
        <v>34</v>
      </c>
    </row>
    <row r="37" spans="1:6" x14ac:dyDescent="0.3">
      <c r="A37" s="12" t="s">
        <v>87</v>
      </c>
      <c r="B37" s="13"/>
      <c r="C37" s="13"/>
      <c r="D37" s="13"/>
      <c r="E37" s="13"/>
      <c r="F37" s="13"/>
    </row>
    <row r="38" spans="1:6" x14ac:dyDescent="0.3">
      <c r="A38" s="14" t="s">
        <v>88</v>
      </c>
      <c r="B38" s="16">
        <v>12453</v>
      </c>
      <c r="C38" s="16">
        <v>9398</v>
      </c>
      <c r="D38" s="16">
        <v>8459</v>
      </c>
      <c r="E38" s="16">
        <v>7519</v>
      </c>
      <c r="F38" s="16">
        <v>8811</v>
      </c>
    </row>
    <row r="39" spans="1:6" x14ac:dyDescent="0.3">
      <c r="A39" s="14" t="s">
        <v>89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A91BB-3FAA-4FC5-947C-2573D93DA903}">
  <dimension ref="A1:F53"/>
  <sheetViews>
    <sheetView workbookViewId="0">
      <selection activeCell="A2" sqref="A2:XFD2"/>
    </sheetView>
  </sheetViews>
  <sheetFormatPr defaultRowHeight="14.4" x14ac:dyDescent="0.3"/>
  <cols>
    <col min="1" max="1" width="39.77734375" bestFit="1" customWidth="1"/>
    <col min="2" max="6" width="9.109375" bestFit="1" customWidth="1"/>
  </cols>
  <sheetData>
    <row r="1" spans="1:6" x14ac:dyDescent="0.3">
      <c r="A1" s="25" t="s">
        <v>106</v>
      </c>
      <c r="B1" s="26">
        <v>45717</v>
      </c>
      <c r="C1" s="26">
        <v>45352</v>
      </c>
      <c r="D1" s="26">
        <v>44986</v>
      </c>
      <c r="E1" s="26">
        <v>44621</v>
      </c>
      <c r="F1" s="26">
        <v>44256</v>
      </c>
    </row>
    <row r="2" spans="1:6" x14ac:dyDescent="0.3">
      <c r="A2" s="12" t="s">
        <v>1</v>
      </c>
      <c r="B2" s="13"/>
      <c r="C2" s="13"/>
      <c r="D2" s="13"/>
      <c r="E2" s="13"/>
      <c r="F2" s="13"/>
    </row>
    <row r="3" spans="1:6" x14ac:dyDescent="0.3">
      <c r="A3" s="12" t="s">
        <v>2</v>
      </c>
      <c r="B3" s="13"/>
      <c r="C3" s="13"/>
      <c r="D3" s="13"/>
      <c r="E3" s="13"/>
      <c r="F3" s="13"/>
    </row>
    <row r="4" spans="1:6" x14ac:dyDescent="0.3">
      <c r="A4" s="14" t="s">
        <v>3</v>
      </c>
      <c r="B4" s="15">
        <v>177.23</v>
      </c>
      <c r="C4" s="15">
        <v>177.2</v>
      </c>
      <c r="D4" s="15">
        <v>177.18</v>
      </c>
      <c r="E4" s="15">
        <v>176.79</v>
      </c>
      <c r="F4" s="15">
        <v>176.74</v>
      </c>
    </row>
    <row r="5" spans="1:6" x14ac:dyDescent="0.3">
      <c r="A5" s="10" t="s">
        <v>4</v>
      </c>
      <c r="B5" s="11">
        <v>177.23</v>
      </c>
      <c r="C5" s="11">
        <v>177.2</v>
      </c>
      <c r="D5" s="11">
        <v>177.18</v>
      </c>
      <c r="E5" s="11">
        <v>176.79</v>
      </c>
      <c r="F5" s="11">
        <v>176.74</v>
      </c>
    </row>
    <row r="6" spans="1:6" x14ac:dyDescent="0.3">
      <c r="A6" s="14" t="s">
        <v>5</v>
      </c>
      <c r="B6" s="16">
        <v>10623.46</v>
      </c>
      <c r="C6" s="16">
        <v>9689.1</v>
      </c>
      <c r="D6" s="16">
        <v>8737</v>
      </c>
      <c r="E6" s="16">
        <v>8056.3</v>
      </c>
      <c r="F6" s="16">
        <v>7486.79</v>
      </c>
    </row>
    <row r="7" spans="1:6" x14ac:dyDescent="0.3">
      <c r="A7" s="10" t="s">
        <v>6</v>
      </c>
      <c r="B7" s="17">
        <v>10623.46</v>
      </c>
      <c r="C7" s="17">
        <v>9689.1</v>
      </c>
      <c r="D7" s="17">
        <v>8737</v>
      </c>
      <c r="E7" s="17">
        <v>8056.3</v>
      </c>
      <c r="F7" s="17">
        <v>7486.79</v>
      </c>
    </row>
    <row r="8" spans="1:6" x14ac:dyDescent="0.3">
      <c r="A8" s="10" t="s">
        <v>7</v>
      </c>
      <c r="B8" s="17">
        <v>10800.69</v>
      </c>
      <c r="C8" s="17">
        <v>9866.2999999999993</v>
      </c>
      <c r="D8" s="17">
        <v>8973.26</v>
      </c>
      <c r="E8" s="17">
        <v>8381.2999999999993</v>
      </c>
      <c r="F8" s="17">
        <v>7663.53</v>
      </c>
    </row>
    <row r="9" spans="1:6" x14ac:dyDescent="0.3">
      <c r="A9" s="14" t="s">
        <v>8</v>
      </c>
      <c r="B9" s="15">
        <v>409.57</v>
      </c>
      <c r="C9" s="15">
        <v>436.78</v>
      </c>
      <c r="D9" s="15">
        <v>468.17</v>
      </c>
      <c r="E9" s="15">
        <v>40.549999999999997</v>
      </c>
      <c r="F9" s="15">
        <v>36.69</v>
      </c>
    </row>
    <row r="10" spans="1:6" x14ac:dyDescent="0.3">
      <c r="A10" s="12" t="s">
        <v>9</v>
      </c>
      <c r="B10" s="13"/>
      <c r="C10" s="13"/>
      <c r="D10" s="13"/>
      <c r="E10" s="13"/>
      <c r="F10" s="13"/>
    </row>
    <row r="11" spans="1:6" x14ac:dyDescent="0.3">
      <c r="A11" s="14" t="s">
        <v>10</v>
      </c>
      <c r="B11" s="15">
        <v>304.02999999999997</v>
      </c>
      <c r="C11" s="15">
        <v>535.97</v>
      </c>
      <c r="D11" s="15">
        <v>298.83999999999997</v>
      </c>
      <c r="E11" s="15">
        <v>250.36</v>
      </c>
      <c r="F11" s="15">
        <v>134.13</v>
      </c>
    </row>
    <row r="12" spans="1:6" x14ac:dyDescent="0.3">
      <c r="A12" s="14" t="s">
        <v>11</v>
      </c>
      <c r="B12" s="15">
        <v>144.27000000000001</v>
      </c>
      <c r="C12" s="15">
        <v>109.03</v>
      </c>
      <c r="D12" s="15">
        <v>90.99</v>
      </c>
      <c r="E12" s="15">
        <v>82.27</v>
      </c>
      <c r="F12" s="15">
        <v>13.91</v>
      </c>
    </row>
    <row r="13" spans="1:6" x14ac:dyDescent="0.3">
      <c r="A13" s="14" t="s">
        <v>12</v>
      </c>
      <c r="B13" s="15">
        <v>183.83</v>
      </c>
      <c r="C13" s="15">
        <v>175.86</v>
      </c>
      <c r="D13" s="15">
        <v>149.31</v>
      </c>
      <c r="E13" s="15">
        <v>143.83000000000001</v>
      </c>
      <c r="F13" s="15">
        <v>1.37</v>
      </c>
    </row>
    <row r="14" spans="1:6" x14ac:dyDescent="0.3">
      <c r="A14" s="14" t="s">
        <v>13</v>
      </c>
      <c r="B14" s="15">
        <v>71.45</v>
      </c>
      <c r="C14" s="15">
        <v>68.31</v>
      </c>
      <c r="D14" s="15">
        <v>64.37</v>
      </c>
      <c r="E14" s="15">
        <v>63.68</v>
      </c>
      <c r="F14" s="15">
        <v>63.31</v>
      </c>
    </row>
    <row r="15" spans="1:6" x14ac:dyDescent="0.3">
      <c r="A15" s="10" t="s">
        <v>14</v>
      </c>
      <c r="B15" s="11">
        <v>703.58</v>
      </c>
      <c r="C15" s="11">
        <v>889.17</v>
      </c>
      <c r="D15" s="11">
        <v>603.51</v>
      </c>
      <c r="E15" s="11">
        <v>540.14</v>
      </c>
      <c r="F15" s="11">
        <v>212.72</v>
      </c>
    </row>
    <row r="16" spans="1:6" x14ac:dyDescent="0.3">
      <c r="A16" s="12" t="s">
        <v>15</v>
      </c>
      <c r="B16" s="13"/>
      <c r="C16" s="13"/>
      <c r="D16" s="13"/>
      <c r="E16" s="13"/>
      <c r="F16" s="13"/>
    </row>
    <row r="17" spans="1:6" x14ac:dyDescent="0.3">
      <c r="A17" s="14" t="s">
        <v>16</v>
      </c>
      <c r="B17" s="15">
        <v>426.09</v>
      </c>
      <c r="C17" s="15">
        <v>622.1</v>
      </c>
      <c r="D17" s="15">
        <v>700.18</v>
      </c>
      <c r="E17" s="15">
        <v>617.29</v>
      </c>
      <c r="F17" s="15">
        <v>349.14</v>
      </c>
    </row>
    <row r="18" spans="1:6" x14ac:dyDescent="0.3">
      <c r="A18" s="14" t="s">
        <v>17</v>
      </c>
      <c r="B18" s="16">
        <v>2825.34</v>
      </c>
      <c r="C18" s="16">
        <v>2421.71</v>
      </c>
      <c r="D18" s="16">
        <v>2186.61</v>
      </c>
      <c r="E18" s="16">
        <v>2017.95</v>
      </c>
      <c r="F18" s="16">
        <v>1915.26</v>
      </c>
    </row>
    <row r="19" spans="1:6" x14ac:dyDescent="0.3">
      <c r="A19" s="14" t="s">
        <v>18</v>
      </c>
      <c r="B19" s="15">
        <v>806.48</v>
      </c>
      <c r="C19" s="15">
        <v>636.73</v>
      </c>
      <c r="D19" s="15">
        <v>508.63</v>
      </c>
      <c r="E19" s="15">
        <v>501.3</v>
      </c>
      <c r="F19" s="15">
        <v>481.95</v>
      </c>
    </row>
    <row r="20" spans="1:6" x14ac:dyDescent="0.3">
      <c r="A20" s="14" t="s">
        <v>19</v>
      </c>
      <c r="B20" s="15">
        <v>260.52999999999997</v>
      </c>
      <c r="C20" s="15">
        <v>249.89</v>
      </c>
      <c r="D20" s="15">
        <v>214.01</v>
      </c>
      <c r="E20" s="15">
        <v>186</v>
      </c>
      <c r="F20" s="15">
        <v>187.84</v>
      </c>
    </row>
    <row r="21" spans="1:6" x14ac:dyDescent="0.3">
      <c r="A21" s="10" t="s">
        <v>20</v>
      </c>
      <c r="B21" s="17">
        <v>4318.4399999999996</v>
      </c>
      <c r="C21" s="17">
        <v>3930.43</v>
      </c>
      <c r="D21" s="17">
        <v>3609.43</v>
      </c>
      <c r="E21" s="17">
        <v>3322.54</v>
      </c>
      <c r="F21" s="17">
        <v>2934.19</v>
      </c>
    </row>
    <row r="22" spans="1:6" x14ac:dyDescent="0.3">
      <c r="A22" s="10" t="s">
        <v>21</v>
      </c>
      <c r="B22" s="17">
        <v>16232.28</v>
      </c>
      <c r="C22" s="17">
        <v>15122.68</v>
      </c>
      <c r="D22" s="17">
        <v>13654.37</v>
      </c>
      <c r="E22" s="17">
        <v>12284.53</v>
      </c>
      <c r="F22" s="17">
        <v>10847.13</v>
      </c>
    </row>
    <row r="23" spans="1:6" x14ac:dyDescent="0.3">
      <c r="A23" s="12" t="s">
        <v>22</v>
      </c>
      <c r="B23" s="13"/>
      <c r="C23" s="13"/>
      <c r="D23" s="13"/>
      <c r="E23" s="13"/>
      <c r="F23" s="13"/>
    </row>
    <row r="24" spans="1:6" x14ac:dyDescent="0.3">
      <c r="A24" s="12" t="s">
        <v>23</v>
      </c>
      <c r="B24" s="13"/>
      <c r="C24" s="13"/>
      <c r="D24" s="13"/>
      <c r="E24" s="13"/>
      <c r="F24" s="13"/>
    </row>
    <row r="25" spans="1:6" x14ac:dyDescent="0.3">
      <c r="A25" s="14" t="s">
        <v>24</v>
      </c>
      <c r="B25" s="16">
        <v>2843.38</v>
      </c>
      <c r="C25" s="16">
        <v>2606.39</v>
      </c>
      <c r="D25" s="16">
        <v>2284.67</v>
      </c>
      <c r="E25" s="16">
        <v>2017.02</v>
      </c>
      <c r="F25" s="16">
        <v>1862.2</v>
      </c>
    </row>
    <row r="26" spans="1:6" x14ac:dyDescent="0.3">
      <c r="A26" s="14" t="s">
        <v>25</v>
      </c>
      <c r="B26" s="15">
        <v>741.22</v>
      </c>
      <c r="C26" s="15">
        <v>803.49</v>
      </c>
      <c r="D26" s="15">
        <v>888.73</v>
      </c>
      <c r="E26" s="15">
        <v>39.729999999999997</v>
      </c>
      <c r="F26" s="15">
        <v>44.71</v>
      </c>
    </row>
    <row r="27" spans="1:6" x14ac:dyDescent="0.3">
      <c r="A27" s="14" t="s">
        <v>26</v>
      </c>
      <c r="B27" s="15">
        <v>166.41</v>
      </c>
      <c r="C27" s="15">
        <v>209.09</v>
      </c>
      <c r="D27" s="15">
        <v>175.13</v>
      </c>
      <c r="E27" s="15">
        <v>167.5</v>
      </c>
      <c r="F27" s="15">
        <v>147.30000000000001</v>
      </c>
    </row>
    <row r="28" spans="1:6" x14ac:dyDescent="0.3">
      <c r="A28" s="10" t="s">
        <v>27</v>
      </c>
      <c r="B28" s="17">
        <v>3753.59</v>
      </c>
      <c r="C28" s="17">
        <v>3642.11</v>
      </c>
      <c r="D28" s="17">
        <v>3348.53</v>
      </c>
      <c r="E28" s="17">
        <v>2224.25</v>
      </c>
      <c r="F28" s="17">
        <v>2054.21</v>
      </c>
    </row>
    <row r="29" spans="1:6" x14ac:dyDescent="0.3">
      <c r="A29" s="14" t="s">
        <v>28</v>
      </c>
      <c r="B29" s="16">
        <v>5380.31</v>
      </c>
      <c r="C29" s="16">
        <v>5266.09</v>
      </c>
      <c r="D29" s="16">
        <v>5528.79</v>
      </c>
      <c r="E29" s="16">
        <v>5365.06</v>
      </c>
      <c r="F29" s="16">
        <v>3413.62</v>
      </c>
    </row>
    <row r="30" spans="1:6" x14ac:dyDescent="0.3">
      <c r="A30" s="14" t="s">
        <v>29</v>
      </c>
      <c r="B30" s="15">
        <v>2.5299999999999998</v>
      </c>
      <c r="C30" s="15">
        <v>6.32</v>
      </c>
      <c r="D30" s="15">
        <v>2.09</v>
      </c>
      <c r="E30" s="15">
        <v>0.67</v>
      </c>
      <c r="F30" s="15">
        <v>17.95</v>
      </c>
    </row>
    <row r="31" spans="1:6" x14ac:dyDescent="0.3">
      <c r="A31" s="14" t="s">
        <v>30</v>
      </c>
      <c r="B31" s="15">
        <v>0</v>
      </c>
      <c r="C31" s="15">
        <v>0</v>
      </c>
      <c r="D31" s="15">
        <v>0</v>
      </c>
      <c r="E31" s="15">
        <v>0</v>
      </c>
      <c r="F31" s="15">
        <v>22.48</v>
      </c>
    </row>
    <row r="32" spans="1:6" x14ac:dyDescent="0.3">
      <c r="A32" s="14" t="s">
        <v>31</v>
      </c>
      <c r="B32" s="15">
        <v>158.30000000000001</v>
      </c>
      <c r="C32" s="15">
        <v>123.42</v>
      </c>
      <c r="D32" s="15">
        <v>120.75</v>
      </c>
      <c r="E32" s="15">
        <v>126.56</v>
      </c>
      <c r="F32" s="15">
        <v>226.92</v>
      </c>
    </row>
    <row r="33" spans="1:6" x14ac:dyDescent="0.3">
      <c r="A33" s="10" t="s">
        <v>32</v>
      </c>
      <c r="B33" s="17">
        <v>9699.82</v>
      </c>
      <c r="C33" s="17">
        <v>9443.06</v>
      </c>
      <c r="D33" s="17">
        <v>9405.41</v>
      </c>
      <c r="E33" s="17">
        <v>7967.69</v>
      </c>
      <c r="F33" s="17">
        <v>6071.19</v>
      </c>
    </row>
    <row r="34" spans="1:6" x14ac:dyDescent="0.3">
      <c r="A34" s="12" t="s">
        <v>33</v>
      </c>
      <c r="B34" s="13"/>
      <c r="C34" s="13"/>
      <c r="D34" s="13"/>
      <c r="E34" s="13"/>
      <c r="F34" s="13"/>
    </row>
    <row r="35" spans="1:6" x14ac:dyDescent="0.3">
      <c r="A35" s="14" t="s">
        <v>34</v>
      </c>
      <c r="B35" s="16">
        <v>2087.5500000000002</v>
      </c>
      <c r="C35" s="16">
        <v>1666.6</v>
      </c>
      <c r="D35" s="15">
        <v>736.47</v>
      </c>
      <c r="E35" s="15">
        <v>854.56</v>
      </c>
      <c r="F35" s="15">
        <v>746.01</v>
      </c>
    </row>
    <row r="36" spans="1:6" x14ac:dyDescent="0.3">
      <c r="A36" s="14" t="s">
        <v>35</v>
      </c>
      <c r="B36" s="16">
        <v>2300.11</v>
      </c>
      <c r="C36" s="16">
        <v>1946.97</v>
      </c>
      <c r="D36" s="16">
        <v>2024.2</v>
      </c>
      <c r="E36" s="16">
        <v>1911.37</v>
      </c>
      <c r="F36" s="16">
        <v>1734.28</v>
      </c>
    </row>
    <row r="37" spans="1:6" x14ac:dyDescent="0.3">
      <c r="A37" s="14" t="s">
        <v>36</v>
      </c>
      <c r="B37" s="15">
        <v>888.5</v>
      </c>
      <c r="C37" s="15">
        <v>898.72</v>
      </c>
      <c r="D37" s="15">
        <v>848.75</v>
      </c>
      <c r="E37" s="15">
        <v>646.15</v>
      </c>
      <c r="F37" s="15">
        <v>561.58000000000004</v>
      </c>
    </row>
    <row r="38" spans="1:6" x14ac:dyDescent="0.3">
      <c r="A38" s="14" t="s">
        <v>37</v>
      </c>
      <c r="B38" s="15">
        <v>578.01</v>
      </c>
      <c r="C38" s="15">
        <v>666.36</v>
      </c>
      <c r="D38" s="15">
        <v>325.92</v>
      </c>
      <c r="E38" s="15">
        <v>570.14</v>
      </c>
      <c r="F38" s="16">
        <v>1329.03</v>
      </c>
    </row>
    <row r="39" spans="1:6" x14ac:dyDescent="0.3">
      <c r="A39" s="14" t="s">
        <v>38</v>
      </c>
      <c r="B39" s="15">
        <v>0</v>
      </c>
      <c r="C39" s="15">
        <v>0</v>
      </c>
      <c r="D39" s="15">
        <v>0</v>
      </c>
      <c r="E39" s="15">
        <v>0</v>
      </c>
      <c r="F39" s="15">
        <v>14.46</v>
      </c>
    </row>
    <row r="40" spans="1:6" x14ac:dyDescent="0.3">
      <c r="A40" s="14" t="s">
        <v>39</v>
      </c>
      <c r="B40" s="15">
        <v>678.29</v>
      </c>
      <c r="C40" s="15">
        <v>500.97</v>
      </c>
      <c r="D40" s="15">
        <v>313.62</v>
      </c>
      <c r="E40" s="15">
        <v>334.62</v>
      </c>
      <c r="F40" s="15">
        <v>390.58</v>
      </c>
    </row>
    <row r="41" spans="1:6" x14ac:dyDescent="0.3">
      <c r="A41" s="10" t="s">
        <v>40</v>
      </c>
      <c r="B41" s="17">
        <v>6532.46</v>
      </c>
      <c r="C41" s="17">
        <v>5679.62</v>
      </c>
      <c r="D41" s="17">
        <v>4248.96</v>
      </c>
      <c r="E41" s="17">
        <v>4316.84</v>
      </c>
      <c r="F41" s="17">
        <v>4775.9399999999996</v>
      </c>
    </row>
    <row r="42" spans="1:6" x14ac:dyDescent="0.3">
      <c r="A42" s="10" t="s">
        <v>41</v>
      </c>
      <c r="B42" s="17">
        <v>16232.28</v>
      </c>
      <c r="C42" s="17">
        <v>15122.68</v>
      </c>
      <c r="D42" s="17">
        <v>13654.37</v>
      </c>
      <c r="E42" s="17">
        <v>12284.53</v>
      </c>
      <c r="F42" s="17">
        <v>10847.13</v>
      </c>
    </row>
    <row r="43" spans="1:6" x14ac:dyDescent="0.3">
      <c r="A43" s="12" t="s">
        <v>42</v>
      </c>
      <c r="B43" s="13"/>
      <c r="C43" s="13"/>
      <c r="D43" s="13"/>
      <c r="E43" s="13"/>
      <c r="F43" s="13"/>
    </row>
    <row r="44" spans="1:6" x14ac:dyDescent="0.3">
      <c r="A44" s="12" t="s">
        <v>43</v>
      </c>
      <c r="B44" s="13"/>
      <c r="C44" s="13"/>
      <c r="D44" s="13"/>
      <c r="E44" s="13"/>
      <c r="F44" s="13"/>
    </row>
    <row r="45" spans="1:6" x14ac:dyDescent="0.3">
      <c r="A45" s="14" t="s">
        <v>44</v>
      </c>
      <c r="B45" s="15">
        <v>754.11</v>
      </c>
      <c r="C45" s="15">
        <v>593.44000000000005</v>
      </c>
      <c r="D45" s="15">
        <v>521.73</v>
      </c>
      <c r="E45" s="15">
        <v>555.05999999999995</v>
      </c>
      <c r="F45" s="15">
        <v>347.77</v>
      </c>
    </row>
    <row r="46" spans="1:6" x14ac:dyDescent="0.3">
      <c r="A46" s="12" t="s">
        <v>45</v>
      </c>
      <c r="B46" s="13"/>
      <c r="C46" s="13"/>
      <c r="D46" s="13"/>
      <c r="E46" s="13"/>
      <c r="F46" s="13"/>
    </row>
    <row r="47" spans="1:6" x14ac:dyDescent="0.3">
      <c r="A47" s="14" t="s">
        <v>46</v>
      </c>
      <c r="B47" s="15">
        <v>163.22999999999999</v>
      </c>
      <c r="C47" s="15">
        <v>163.22999999999999</v>
      </c>
      <c r="D47" s="15">
        <v>163.22999999999999</v>
      </c>
      <c r="E47" s="15">
        <v>163.22999999999999</v>
      </c>
      <c r="F47" s="15">
        <v>163.22999999999999</v>
      </c>
    </row>
    <row r="48" spans="1:6" x14ac:dyDescent="0.3">
      <c r="A48" s="12" t="s">
        <v>47</v>
      </c>
      <c r="B48" s="13"/>
      <c r="C48" s="13"/>
      <c r="D48" s="13"/>
      <c r="E48" s="13"/>
      <c r="F48" s="13"/>
    </row>
    <row r="49" spans="1:6" x14ac:dyDescent="0.3">
      <c r="A49" s="14" t="s">
        <v>48</v>
      </c>
      <c r="B49" s="16">
        <v>4167.16</v>
      </c>
      <c r="C49" s="16">
        <v>4337.9399999999996</v>
      </c>
      <c r="D49" s="16">
        <v>4652.16</v>
      </c>
      <c r="E49" s="16">
        <v>4229.01</v>
      </c>
      <c r="F49" s="16">
        <v>3024.07</v>
      </c>
    </row>
    <row r="50" spans="1:6" x14ac:dyDescent="0.3">
      <c r="A50" s="14" t="s">
        <v>49</v>
      </c>
      <c r="B50" s="16">
        <v>1212.48</v>
      </c>
      <c r="C50" s="15">
        <v>927.81</v>
      </c>
      <c r="D50" s="15">
        <v>888.85</v>
      </c>
      <c r="E50" s="16">
        <v>1142.1600000000001</v>
      </c>
      <c r="F50" s="15">
        <v>387.9</v>
      </c>
    </row>
    <row r="51" spans="1:6" x14ac:dyDescent="0.3">
      <c r="A51" s="12" t="s">
        <v>50</v>
      </c>
      <c r="B51" s="13"/>
      <c r="C51" s="13"/>
      <c r="D51" s="13"/>
      <c r="E51" s="13"/>
      <c r="F51" s="13"/>
    </row>
    <row r="52" spans="1:6" x14ac:dyDescent="0.3">
      <c r="A52" s="14" t="s">
        <v>51</v>
      </c>
      <c r="B52" s="16">
        <v>1628.36</v>
      </c>
      <c r="C52" s="16">
        <v>1286.3499999999999</v>
      </c>
      <c r="D52" s="15">
        <v>275.14999999999998</v>
      </c>
      <c r="E52" s="15">
        <v>678.49</v>
      </c>
      <c r="F52" s="15">
        <v>451.14</v>
      </c>
    </row>
    <row r="53" spans="1:6" x14ac:dyDescent="0.3">
      <c r="A53" s="14" t="s">
        <v>52</v>
      </c>
      <c r="B53" s="15">
        <v>459.18</v>
      </c>
      <c r="C53" s="15">
        <v>380.25</v>
      </c>
      <c r="D53" s="15">
        <v>462.83</v>
      </c>
      <c r="E53" s="15">
        <v>166.67</v>
      </c>
      <c r="F53" s="15">
        <v>320.19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48A11-8EC0-4792-8C8B-9BC2B166B19E}">
  <dimension ref="A1:F39"/>
  <sheetViews>
    <sheetView topLeftCell="A7" workbookViewId="0">
      <selection activeCell="A2" sqref="A2:XFD2"/>
    </sheetView>
  </sheetViews>
  <sheetFormatPr defaultRowHeight="14.4" x14ac:dyDescent="0.3"/>
  <cols>
    <col min="1" max="1" width="55.109375" bestFit="1" customWidth="1"/>
    <col min="2" max="5" width="9.109375" bestFit="1" customWidth="1"/>
    <col min="6" max="6" width="9" bestFit="1" customWidth="1"/>
  </cols>
  <sheetData>
    <row r="1" spans="1:6" x14ac:dyDescent="0.3">
      <c r="A1" s="25" t="s">
        <v>107</v>
      </c>
      <c r="B1" s="26">
        <v>45717</v>
      </c>
      <c r="C1" s="26">
        <v>45352</v>
      </c>
      <c r="D1" s="26">
        <v>44986</v>
      </c>
      <c r="E1" s="26">
        <v>44621</v>
      </c>
      <c r="F1" s="26">
        <v>44256</v>
      </c>
    </row>
    <row r="2" spans="1:6" x14ac:dyDescent="0.3">
      <c r="A2" s="12" t="s">
        <v>54</v>
      </c>
      <c r="B2" s="13"/>
      <c r="C2" s="13"/>
      <c r="D2" s="13"/>
      <c r="E2" s="13"/>
      <c r="F2" s="13"/>
    </row>
    <row r="3" spans="1:6" x14ac:dyDescent="0.3">
      <c r="A3" s="10" t="s">
        <v>55</v>
      </c>
      <c r="B3" s="17">
        <v>12400.01</v>
      </c>
      <c r="C3" s="17">
        <v>12261.65</v>
      </c>
      <c r="D3" s="17">
        <v>11426.51</v>
      </c>
      <c r="E3" s="17">
        <v>10808.03</v>
      </c>
      <c r="F3" s="17">
        <v>9507.81</v>
      </c>
    </row>
    <row r="4" spans="1:6" x14ac:dyDescent="0.3">
      <c r="A4" s="14" t="s">
        <v>56</v>
      </c>
      <c r="B4" s="15">
        <v>0</v>
      </c>
      <c r="C4" s="15">
        <v>0</v>
      </c>
      <c r="D4" s="15">
        <v>0</v>
      </c>
      <c r="E4" s="15">
        <v>0</v>
      </c>
      <c r="F4" s="15">
        <v>15.05</v>
      </c>
    </row>
    <row r="5" spans="1:6" x14ac:dyDescent="0.3">
      <c r="A5" s="10" t="s">
        <v>57</v>
      </c>
      <c r="B5" s="17">
        <v>12400.01</v>
      </c>
      <c r="C5" s="17">
        <v>12261.65</v>
      </c>
      <c r="D5" s="17">
        <v>11426.51</v>
      </c>
      <c r="E5" s="17">
        <v>10808.03</v>
      </c>
      <c r="F5" s="17">
        <v>9492.76</v>
      </c>
    </row>
    <row r="6" spans="1:6" x14ac:dyDescent="0.3">
      <c r="A6" s="10" t="s">
        <v>58</v>
      </c>
      <c r="B6" s="17">
        <v>12563.09</v>
      </c>
      <c r="C6" s="17">
        <v>12404.01</v>
      </c>
      <c r="D6" s="17">
        <v>11529.89</v>
      </c>
      <c r="E6" s="17">
        <v>10888.68</v>
      </c>
      <c r="F6" s="17">
        <v>9546.6</v>
      </c>
    </row>
    <row r="7" spans="1:6" x14ac:dyDescent="0.3">
      <c r="A7" s="14" t="s">
        <v>59</v>
      </c>
      <c r="B7" s="15">
        <v>550.1</v>
      </c>
      <c r="C7" s="15">
        <v>482.41</v>
      </c>
      <c r="D7" s="15">
        <v>445.39</v>
      </c>
      <c r="E7" s="15">
        <v>393.16</v>
      </c>
      <c r="F7" s="15">
        <v>325.29000000000002</v>
      </c>
    </row>
    <row r="8" spans="1:6" x14ac:dyDescent="0.3">
      <c r="A8" s="10" t="s">
        <v>60</v>
      </c>
      <c r="B8" s="17">
        <v>13113.19</v>
      </c>
      <c r="C8" s="17">
        <v>12886.42</v>
      </c>
      <c r="D8" s="17">
        <v>11975.28</v>
      </c>
      <c r="E8" s="17">
        <v>11281.84</v>
      </c>
      <c r="F8" s="17">
        <v>9871.89</v>
      </c>
    </row>
    <row r="9" spans="1:6" x14ac:dyDescent="0.3">
      <c r="A9" s="12" t="s">
        <v>61</v>
      </c>
      <c r="B9" s="13"/>
      <c r="C9" s="13"/>
      <c r="D9" s="13"/>
      <c r="E9" s="13"/>
      <c r="F9" s="13"/>
    </row>
    <row r="10" spans="1:6" x14ac:dyDescent="0.3">
      <c r="A10" s="14" t="s">
        <v>62</v>
      </c>
      <c r="B10" s="16">
        <v>5263.68</v>
      </c>
      <c r="C10" s="16">
        <v>5186.8999999999996</v>
      </c>
      <c r="D10" s="16">
        <v>5306.97</v>
      </c>
      <c r="E10" s="16">
        <v>4766.12</v>
      </c>
      <c r="F10" s="16">
        <v>3998.58</v>
      </c>
    </row>
    <row r="11" spans="1:6" x14ac:dyDescent="0.3">
      <c r="A11" s="14" t="s">
        <v>63</v>
      </c>
      <c r="B11" s="16">
        <v>1328.28</v>
      </c>
      <c r="C11" s="16">
        <v>1211.1099999999999</v>
      </c>
      <c r="D11" s="16">
        <v>1052.49</v>
      </c>
      <c r="E11" s="15">
        <v>882.12</v>
      </c>
      <c r="F11" s="15">
        <v>982.53</v>
      </c>
    </row>
    <row r="12" spans="1:6" x14ac:dyDescent="0.3">
      <c r="A12" s="14" t="s">
        <v>64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</row>
    <row r="13" spans="1:6" x14ac:dyDescent="0.3">
      <c r="A13" s="14" t="s">
        <v>65</v>
      </c>
      <c r="B13" s="15">
        <v>-57.1</v>
      </c>
      <c r="C13" s="15">
        <v>48.95</v>
      </c>
      <c r="D13" s="15">
        <v>-90.79</v>
      </c>
      <c r="E13" s="15">
        <v>-8.5500000000000007</v>
      </c>
      <c r="F13" s="15">
        <v>-207.2</v>
      </c>
    </row>
    <row r="14" spans="1:6" x14ac:dyDescent="0.3">
      <c r="A14" s="14" t="s">
        <v>66</v>
      </c>
      <c r="B14" s="16">
        <v>1291.23</v>
      </c>
      <c r="C14" s="16">
        <v>1239.56</v>
      </c>
      <c r="D14" s="16">
        <v>1137</v>
      </c>
      <c r="E14" s="16">
        <v>1079.95</v>
      </c>
      <c r="F14" s="16">
        <v>1033.46</v>
      </c>
    </row>
    <row r="15" spans="1:6" x14ac:dyDescent="0.3">
      <c r="A15" s="14" t="s">
        <v>67</v>
      </c>
      <c r="B15" s="15">
        <v>163.5</v>
      </c>
      <c r="C15" s="15">
        <v>124.18</v>
      </c>
      <c r="D15" s="15">
        <v>78.239999999999995</v>
      </c>
      <c r="E15" s="15">
        <v>38.6</v>
      </c>
      <c r="F15" s="15">
        <v>30.81</v>
      </c>
    </row>
    <row r="16" spans="1:6" x14ac:dyDescent="0.3">
      <c r="A16" s="14" t="s">
        <v>68</v>
      </c>
      <c r="B16" s="15">
        <v>445.6</v>
      </c>
      <c r="C16" s="15">
        <v>399.21</v>
      </c>
      <c r="D16" s="15">
        <v>310.95999999999998</v>
      </c>
      <c r="E16" s="15">
        <v>252.89</v>
      </c>
      <c r="F16" s="15">
        <v>240.13</v>
      </c>
    </row>
    <row r="17" spans="1:6" x14ac:dyDescent="0.3">
      <c r="A17" s="14" t="s">
        <v>69</v>
      </c>
      <c r="B17" s="16">
        <v>2420.66</v>
      </c>
      <c r="C17" s="16">
        <v>2317.2600000000002</v>
      </c>
      <c r="D17" s="16">
        <v>1960.1</v>
      </c>
      <c r="E17" s="16">
        <v>1915.23</v>
      </c>
      <c r="F17" s="16">
        <v>1736.55</v>
      </c>
    </row>
    <row r="18" spans="1:6" x14ac:dyDescent="0.3">
      <c r="A18" s="10" t="s">
        <v>70</v>
      </c>
      <c r="B18" s="17">
        <v>10855.85</v>
      </c>
      <c r="C18" s="17">
        <v>10527.17</v>
      </c>
      <c r="D18" s="17">
        <v>9754.9699999999993</v>
      </c>
      <c r="E18" s="17">
        <v>8926.36</v>
      </c>
      <c r="F18" s="17">
        <v>7814.86</v>
      </c>
    </row>
    <row r="19" spans="1:6" x14ac:dyDescent="0.3">
      <c r="A19" s="10" t="s">
        <v>71</v>
      </c>
      <c r="B19" s="17">
        <v>2257.34</v>
      </c>
      <c r="C19" s="17">
        <v>2359.25</v>
      </c>
      <c r="D19" s="17">
        <v>2220.31</v>
      </c>
      <c r="E19" s="17">
        <v>2355.48</v>
      </c>
      <c r="F19" s="17">
        <v>2057.0300000000002</v>
      </c>
    </row>
    <row r="20" spans="1:6" x14ac:dyDescent="0.3">
      <c r="A20" s="14" t="s">
        <v>72</v>
      </c>
      <c r="B20" s="15">
        <v>0</v>
      </c>
      <c r="C20" s="15">
        <v>0</v>
      </c>
      <c r="D20" s="15">
        <v>0</v>
      </c>
      <c r="E20" s="15">
        <v>-85</v>
      </c>
      <c r="F20" s="15">
        <v>0</v>
      </c>
    </row>
    <row r="21" spans="1:6" x14ac:dyDescent="0.3">
      <c r="A21" s="10" t="s">
        <v>73</v>
      </c>
      <c r="B21" s="17">
        <v>2257.34</v>
      </c>
      <c r="C21" s="17">
        <v>2359.25</v>
      </c>
      <c r="D21" s="17">
        <v>2220.31</v>
      </c>
      <c r="E21" s="17">
        <v>2270.48</v>
      </c>
      <c r="F21" s="17">
        <v>2057.0300000000002</v>
      </c>
    </row>
    <row r="22" spans="1:6" x14ac:dyDescent="0.3">
      <c r="A22" s="12" t="s">
        <v>74</v>
      </c>
      <c r="B22" s="13"/>
      <c r="C22" s="13"/>
      <c r="D22" s="13"/>
      <c r="E22" s="13"/>
      <c r="F22" s="13"/>
    </row>
    <row r="23" spans="1:6" x14ac:dyDescent="0.3">
      <c r="A23" s="14" t="s">
        <v>75</v>
      </c>
      <c r="B23" s="15">
        <v>499.06</v>
      </c>
      <c r="C23" s="15">
        <v>539.53</v>
      </c>
      <c r="D23" s="15">
        <v>481.63</v>
      </c>
      <c r="E23" s="15">
        <v>442.17</v>
      </c>
      <c r="F23" s="15">
        <v>505.18</v>
      </c>
    </row>
    <row r="24" spans="1:6" x14ac:dyDescent="0.3">
      <c r="A24" s="14" t="s">
        <v>76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</row>
    <row r="25" spans="1:6" x14ac:dyDescent="0.3">
      <c r="A25" s="14" t="s">
        <v>77</v>
      </c>
      <c r="B25" s="15">
        <v>18.41</v>
      </c>
      <c r="C25" s="15">
        <v>7.9</v>
      </c>
      <c r="D25" s="15">
        <v>35.72</v>
      </c>
      <c r="E25" s="15">
        <v>84.21</v>
      </c>
      <c r="F25" s="15">
        <v>-144.11000000000001</v>
      </c>
    </row>
    <row r="26" spans="1:6" x14ac:dyDescent="0.3">
      <c r="A26" s="14" t="s">
        <v>78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</row>
    <row r="27" spans="1:6" x14ac:dyDescent="0.3">
      <c r="A27" s="10" t="s">
        <v>79</v>
      </c>
      <c r="B27" s="11">
        <v>517.47</v>
      </c>
      <c r="C27" s="11">
        <v>547.42999999999995</v>
      </c>
      <c r="D27" s="11">
        <v>517.35</v>
      </c>
      <c r="E27" s="11">
        <v>526.38</v>
      </c>
      <c r="F27" s="11">
        <v>361.07</v>
      </c>
    </row>
    <row r="28" spans="1:6" x14ac:dyDescent="0.3">
      <c r="A28" s="10" t="s">
        <v>80</v>
      </c>
      <c r="B28" s="17">
        <v>1739.87</v>
      </c>
      <c r="C28" s="17">
        <v>1811.82</v>
      </c>
      <c r="D28" s="17">
        <v>1702.96</v>
      </c>
      <c r="E28" s="17">
        <v>1744.1</v>
      </c>
      <c r="F28" s="17">
        <v>1695.96</v>
      </c>
    </row>
    <row r="29" spans="1:6" x14ac:dyDescent="0.3">
      <c r="A29" s="10" t="s">
        <v>81</v>
      </c>
      <c r="B29" s="17">
        <v>1739.87</v>
      </c>
      <c r="C29" s="17">
        <v>1811.82</v>
      </c>
      <c r="D29" s="17">
        <v>1702.96</v>
      </c>
      <c r="E29" s="17">
        <v>1744.1</v>
      </c>
      <c r="F29" s="17">
        <v>1695.96</v>
      </c>
    </row>
    <row r="30" spans="1:6" x14ac:dyDescent="0.3">
      <c r="A30" s="10" t="s">
        <v>82</v>
      </c>
      <c r="B30" s="17">
        <v>1739.87</v>
      </c>
      <c r="C30" s="17">
        <v>1811.82</v>
      </c>
      <c r="D30" s="17">
        <v>1702.96</v>
      </c>
      <c r="E30" s="17">
        <v>1744.1</v>
      </c>
      <c r="F30" s="17">
        <v>1695.96</v>
      </c>
    </row>
    <row r="31" spans="1:6" x14ac:dyDescent="0.3">
      <c r="A31" s="14" t="s">
        <v>8</v>
      </c>
      <c r="B31" s="15">
        <v>27.21</v>
      </c>
      <c r="C31" s="15">
        <v>31.37</v>
      </c>
      <c r="D31" s="15">
        <v>5.82</v>
      </c>
      <c r="E31" s="15">
        <v>-3.08</v>
      </c>
      <c r="F31" s="15">
        <v>-1.65</v>
      </c>
    </row>
    <row r="32" spans="1:6" x14ac:dyDescent="0.3">
      <c r="A32" s="10" t="s">
        <v>83</v>
      </c>
      <c r="B32" s="17">
        <v>1767.63</v>
      </c>
      <c r="C32" s="17">
        <v>1842.68</v>
      </c>
      <c r="D32" s="17">
        <v>1707.15</v>
      </c>
      <c r="E32" s="17">
        <v>1739.22</v>
      </c>
      <c r="F32" s="17">
        <v>1693.3</v>
      </c>
    </row>
    <row r="33" spans="1:6" x14ac:dyDescent="0.3">
      <c r="A33" s="12" t="s">
        <v>42</v>
      </c>
      <c r="B33" s="13"/>
      <c r="C33" s="13"/>
      <c r="D33" s="13"/>
      <c r="E33" s="13"/>
      <c r="F33" s="13"/>
    </row>
    <row r="34" spans="1:6" x14ac:dyDescent="0.3">
      <c r="A34" s="12" t="s">
        <v>84</v>
      </c>
      <c r="B34" s="13"/>
      <c r="C34" s="13"/>
      <c r="D34" s="13"/>
      <c r="E34" s="13"/>
      <c r="F34" s="13"/>
    </row>
    <row r="35" spans="1:6" x14ac:dyDescent="0.3">
      <c r="A35" s="14" t="s">
        <v>85</v>
      </c>
      <c r="B35" s="15">
        <v>10</v>
      </c>
      <c r="C35" s="15">
        <v>10</v>
      </c>
      <c r="D35" s="15">
        <v>10</v>
      </c>
      <c r="E35" s="15">
        <v>10</v>
      </c>
      <c r="F35" s="15">
        <v>10</v>
      </c>
    </row>
    <row r="36" spans="1:6" x14ac:dyDescent="0.3">
      <c r="A36" s="14" t="s">
        <v>86</v>
      </c>
      <c r="B36" s="15">
        <v>10</v>
      </c>
      <c r="C36" s="15">
        <v>10</v>
      </c>
      <c r="D36" s="15">
        <v>10</v>
      </c>
      <c r="E36" s="15">
        <v>10</v>
      </c>
      <c r="F36" s="15">
        <v>10</v>
      </c>
    </row>
    <row r="37" spans="1:6" x14ac:dyDescent="0.3">
      <c r="A37" s="12" t="s">
        <v>87</v>
      </c>
      <c r="B37" s="13"/>
      <c r="C37" s="13"/>
      <c r="D37" s="13"/>
      <c r="E37" s="13"/>
      <c r="F37" s="13"/>
    </row>
    <row r="38" spans="1:6" x14ac:dyDescent="0.3">
      <c r="A38" s="14" t="s">
        <v>88</v>
      </c>
      <c r="B38" s="15">
        <v>974.78</v>
      </c>
      <c r="C38" s="15">
        <v>965.76</v>
      </c>
      <c r="D38" s="15">
        <v>921.31</v>
      </c>
      <c r="E38" s="15">
        <v>972.32</v>
      </c>
      <c r="F38" s="15">
        <v>592.09</v>
      </c>
    </row>
    <row r="39" spans="1:6" x14ac:dyDescent="0.3">
      <c r="A39" s="14" t="s">
        <v>89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2505F-1E79-499F-A1BD-34BE9C304225}">
  <dimension ref="A1:F53"/>
  <sheetViews>
    <sheetView workbookViewId="0">
      <selection activeCell="I9" sqref="I9"/>
    </sheetView>
  </sheetViews>
  <sheetFormatPr defaultRowHeight="14.4" x14ac:dyDescent="0.3"/>
  <cols>
    <col min="1" max="1" width="44.33203125" bestFit="1" customWidth="1"/>
  </cols>
  <sheetData>
    <row r="1" spans="1:6" x14ac:dyDescent="0.3">
      <c r="A1" s="25" t="s">
        <v>108</v>
      </c>
      <c r="B1" s="26">
        <v>45717</v>
      </c>
      <c r="C1" s="26">
        <v>45352</v>
      </c>
      <c r="D1" s="26">
        <v>44986</v>
      </c>
      <c r="E1" s="26">
        <v>44621</v>
      </c>
      <c r="F1" s="26">
        <v>44256</v>
      </c>
    </row>
    <row r="2" spans="1:6" x14ac:dyDescent="0.3">
      <c r="A2" s="12" t="s">
        <v>1</v>
      </c>
      <c r="B2" s="13"/>
      <c r="C2" s="13"/>
      <c r="D2" s="13"/>
      <c r="E2" s="13"/>
      <c r="F2" s="13"/>
    </row>
    <row r="3" spans="1:6" x14ac:dyDescent="0.3">
      <c r="A3" s="12" t="s">
        <v>2</v>
      </c>
      <c r="B3" s="13"/>
      <c r="C3" s="13"/>
      <c r="D3" s="13"/>
      <c r="E3" s="13"/>
      <c r="F3" s="13"/>
    </row>
    <row r="4" spans="1:6" x14ac:dyDescent="0.3">
      <c r="A4" s="14" t="s">
        <v>3</v>
      </c>
      <c r="B4" s="15">
        <v>24.09</v>
      </c>
      <c r="C4" s="15">
        <v>24.09</v>
      </c>
      <c r="D4" s="15">
        <v>24.09</v>
      </c>
      <c r="E4" s="15">
        <v>24.09</v>
      </c>
      <c r="F4" s="15">
        <v>24.09</v>
      </c>
    </row>
    <row r="5" spans="1:6" x14ac:dyDescent="0.3">
      <c r="A5" s="10" t="s">
        <v>4</v>
      </c>
      <c r="B5" s="11">
        <v>24.09</v>
      </c>
      <c r="C5" s="11">
        <v>24.09</v>
      </c>
      <c r="D5" s="11">
        <v>24.09</v>
      </c>
      <c r="E5" s="11">
        <v>24.09</v>
      </c>
      <c r="F5" s="11">
        <v>24.09</v>
      </c>
    </row>
    <row r="6" spans="1:6" x14ac:dyDescent="0.3">
      <c r="A6" s="14" t="s">
        <v>5</v>
      </c>
      <c r="B6" s="16">
        <v>4331.63</v>
      </c>
      <c r="C6" s="16">
        <v>3917.43</v>
      </c>
      <c r="D6" s="16">
        <v>3510.18</v>
      </c>
      <c r="E6" s="16">
        <v>2534.0100000000002</v>
      </c>
      <c r="F6" s="16">
        <v>3495.47</v>
      </c>
    </row>
    <row r="7" spans="1:6" x14ac:dyDescent="0.3">
      <c r="A7" s="10" t="s">
        <v>6</v>
      </c>
      <c r="B7" s="17">
        <v>4331.63</v>
      </c>
      <c r="C7" s="17">
        <v>3917.43</v>
      </c>
      <c r="D7" s="17">
        <v>3510.18</v>
      </c>
      <c r="E7" s="17">
        <v>2534.0100000000002</v>
      </c>
      <c r="F7" s="17">
        <v>3495.47</v>
      </c>
    </row>
    <row r="8" spans="1:6" x14ac:dyDescent="0.3">
      <c r="A8" s="10" t="s">
        <v>7</v>
      </c>
      <c r="B8" s="17">
        <v>4355.72</v>
      </c>
      <c r="C8" s="17">
        <v>3941.52</v>
      </c>
      <c r="D8" s="17">
        <v>3534.27</v>
      </c>
      <c r="E8" s="17">
        <v>2558.1</v>
      </c>
      <c r="F8" s="17">
        <v>3547.66</v>
      </c>
    </row>
    <row r="9" spans="1:6" x14ac:dyDescent="0.3">
      <c r="A9" s="14" t="s">
        <v>8</v>
      </c>
      <c r="B9" s="15">
        <v>25.6</v>
      </c>
      <c r="C9" s="15">
        <v>24.5</v>
      </c>
      <c r="D9" s="15">
        <v>30.23</v>
      </c>
      <c r="E9" s="15">
        <v>27.5</v>
      </c>
      <c r="F9" s="15">
        <v>36.340000000000003</v>
      </c>
    </row>
    <row r="10" spans="1:6" x14ac:dyDescent="0.3">
      <c r="A10" s="12" t="s">
        <v>9</v>
      </c>
      <c r="B10" s="13"/>
      <c r="C10" s="13"/>
      <c r="D10" s="13"/>
      <c r="E10" s="13"/>
      <c r="F10" s="13"/>
    </row>
    <row r="11" spans="1:6" x14ac:dyDescent="0.3">
      <c r="A11" s="14" t="s">
        <v>10</v>
      </c>
      <c r="B11" s="15">
        <v>712.94</v>
      </c>
      <c r="C11" s="15">
        <v>904.72</v>
      </c>
      <c r="D11" s="16">
        <v>1551.8</v>
      </c>
      <c r="E11" s="15">
        <v>706.99</v>
      </c>
      <c r="F11" s="15">
        <v>747.75</v>
      </c>
    </row>
    <row r="12" spans="1:6" x14ac:dyDescent="0.3">
      <c r="A12" s="14" t="s">
        <v>11</v>
      </c>
      <c r="B12" s="15">
        <v>1.8</v>
      </c>
      <c r="C12" s="15">
        <v>2.06</v>
      </c>
      <c r="D12" s="15">
        <v>1.87</v>
      </c>
      <c r="E12" s="15">
        <v>0.81</v>
      </c>
      <c r="F12" s="15">
        <v>8.69</v>
      </c>
    </row>
    <row r="13" spans="1:6" x14ac:dyDescent="0.3">
      <c r="A13" s="14" t="s">
        <v>12</v>
      </c>
      <c r="B13" s="15">
        <v>91.66</v>
      </c>
      <c r="C13" s="15">
        <v>85.79</v>
      </c>
      <c r="D13" s="15">
        <v>74.510000000000005</v>
      </c>
      <c r="E13" s="15">
        <v>66.400000000000006</v>
      </c>
      <c r="F13" s="15">
        <v>54.07</v>
      </c>
    </row>
    <row r="14" spans="1:6" x14ac:dyDescent="0.3">
      <c r="A14" s="14" t="s">
        <v>13</v>
      </c>
      <c r="B14" s="15">
        <v>32.57</v>
      </c>
      <c r="C14" s="15">
        <v>30.56</v>
      </c>
      <c r="D14" s="15">
        <v>25.64</v>
      </c>
      <c r="E14" s="15">
        <v>0</v>
      </c>
      <c r="F14" s="15">
        <v>0</v>
      </c>
    </row>
    <row r="15" spans="1:6" x14ac:dyDescent="0.3">
      <c r="A15" s="10" t="s">
        <v>14</v>
      </c>
      <c r="B15" s="11">
        <v>838.97</v>
      </c>
      <c r="C15" s="17">
        <v>1023.13</v>
      </c>
      <c r="D15" s="17">
        <v>1653.82</v>
      </c>
      <c r="E15" s="11">
        <v>774.2</v>
      </c>
      <c r="F15" s="11">
        <v>810.51</v>
      </c>
    </row>
    <row r="16" spans="1:6" x14ac:dyDescent="0.3">
      <c r="A16" s="12" t="s">
        <v>15</v>
      </c>
      <c r="B16" s="13"/>
      <c r="C16" s="13"/>
      <c r="D16" s="13"/>
      <c r="E16" s="13"/>
      <c r="F16" s="13"/>
    </row>
    <row r="17" spans="1:6" x14ac:dyDescent="0.3">
      <c r="A17" s="14" t="s">
        <v>16</v>
      </c>
      <c r="B17" s="15">
        <v>511.83</v>
      </c>
      <c r="C17" s="16">
        <v>1136.49</v>
      </c>
      <c r="D17" s="16">
        <v>1428.71</v>
      </c>
      <c r="E17" s="16">
        <v>1758.55</v>
      </c>
      <c r="F17" s="16">
        <v>1339.42</v>
      </c>
    </row>
    <row r="18" spans="1:6" x14ac:dyDescent="0.3">
      <c r="A18" s="14" t="s">
        <v>17</v>
      </c>
      <c r="B18" s="16">
        <v>1752.23</v>
      </c>
      <c r="C18" s="16">
        <v>1627.48</v>
      </c>
      <c r="D18" s="16">
        <v>1448.81</v>
      </c>
      <c r="E18" s="16">
        <v>1285.22</v>
      </c>
      <c r="F18" s="16">
        <v>1314.75</v>
      </c>
    </row>
    <row r="19" spans="1:6" x14ac:dyDescent="0.3">
      <c r="A19" s="14" t="s">
        <v>18</v>
      </c>
      <c r="B19" s="15">
        <v>749.54</v>
      </c>
      <c r="C19" s="15">
        <v>761.24</v>
      </c>
      <c r="D19" s="15">
        <v>743.49</v>
      </c>
      <c r="E19" s="15">
        <v>626.85</v>
      </c>
      <c r="F19" s="15">
        <v>572.63</v>
      </c>
    </row>
    <row r="20" spans="1:6" x14ac:dyDescent="0.3">
      <c r="A20" s="14" t="s">
        <v>19</v>
      </c>
      <c r="B20" s="15">
        <v>604.66</v>
      </c>
      <c r="C20" s="15">
        <v>559.20000000000005</v>
      </c>
      <c r="D20" s="15">
        <v>513.39</v>
      </c>
      <c r="E20" s="15">
        <v>485.11</v>
      </c>
      <c r="F20" s="15">
        <v>387.47</v>
      </c>
    </row>
    <row r="21" spans="1:6" x14ac:dyDescent="0.3">
      <c r="A21" s="10" t="s">
        <v>20</v>
      </c>
      <c r="B21" s="17">
        <v>3618.26</v>
      </c>
      <c r="C21" s="17">
        <v>4084.41</v>
      </c>
      <c r="D21" s="17">
        <v>4134.3999999999996</v>
      </c>
      <c r="E21" s="17">
        <v>4155.7299999999996</v>
      </c>
      <c r="F21" s="17">
        <v>3614.27</v>
      </c>
    </row>
    <row r="22" spans="1:6" x14ac:dyDescent="0.3">
      <c r="A22" s="10" t="s">
        <v>21</v>
      </c>
      <c r="B22" s="17">
        <v>8838.5499999999993</v>
      </c>
      <c r="C22" s="17">
        <v>9073.56</v>
      </c>
      <c r="D22" s="17">
        <v>9352.7199999999993</v>
      </c>
      <c r="E22" s="17">
        <v>7515.53</v>
      </c>
      <c r="F22" s="17">
        <v>8008.78</v>
      </c>
    </row>
    <row r="23" spans="1:6" x14ac:dyDescent="0.3">
      <c r="A23" s="12" t="s">
        <v>22</v>
      </c>
      <c r="B23" s="13"/>
      <c r="C23" s="13"/>
      <c r="D23" s="13"/>
      <c r="E23" s="13"/>
      <c r="F23" s="13"/>
    </row>
    <row r="24" spans="1:6" x14ac:dyDescent="0.3">
      <c r="A24" s="12" t="s">
        <v>23</v>
      </c>
      <c r="B24" s="13"/>
      <c r="C24" s="13"/>
      <c r="D24" s="13"/>
      <c r="E24" s="13"/>
      <c r="F24" s="13"/>
    </row>
    <row r="25" spans="1:6" x14ac:dyDescent="0.3">
      <c r="A25" s="14" t="s">
        <v>24</v>
      </c>
      <c r="B25" s="16">
        <v>2763.51</v>
      </c>
      <c r="C25" s="16">
        <v>2630.42</v>
      </c>
      <c r="D25" s="16">
        <v>2512.8200000000002</v>
      </c>
      <c r="E25" s="16">
        <v>1598</v>
      </c>
      <c r="F25" s="16">
        <v>1648.51</v>
      </c>
    </row>
    <row r="26" spans="1:6" x14ac:dyDescent="0.3">
      <c r="A26" s="14" t="s">
        <v>25</v>
      </c>
      <c r="B26" s="15">
        <v>7.51</v>
      </c>
      <c r="C26" s="15">
        <v>10.9</v>
      </c>
      <c r="D26" s="15">
        <v>14.24</v>
      </c>
      <c r="E26" s="15">
        <v>15.6</v>
      </c>
      <c r="F26" s="15">
        <v>8.5399999999999991</v>
      </c>
    </row>
    <row r="27" spans="1:6" x14ac:dyDescent="0.3">
      <c r="A27" s="14" t="s">
        <v>26</v>
      </c>
      <c r="B27" s="15">
        <v>89.2</v>
      </c>
      <c r="C27" s="15">
        <v>187.54</v>
      </c>
      <c r="D27" s="15">
        <v>105</v>
      </c>
      <c r="E27" s="15">
        <v>535.67999999999995</v>
      </c>
      <c r="F27" s="15">
        <v>116.52</v>
      </c>
    </row>
    <row r="28" spans="1:6" x14ac:dyDescent="0.3">
      <c r="A28" s="10" t="s">
        <v>27</v>
      </c>
      <c r="B28" s="17">
        <v>2860.22</v>
      </c>
      <c r="C28" s="17">
        <v>2828.86</v>
      </c>
      <c r="D28" s="17">
        <v>2632.06</v>
      </c>
      <c r="E28" s="17">
        <v>2149.2800000000002</v>
      </c>
      <c r="F28" s="17">
        <v>1773.57</v>
      </c>
    </row>
    <row r="29" spans="1:6" x14ac:dyDescent="0.3">
      <c r="A29" s="14" t="s">
        <v>28</v>
      </c>
      <c r="B29" s="16">
        <v>1753.79</v>
      </c>
      <c r="C29" s="16">
        <v>1070.21</v>
      </c>
      <c r="D29" s="16">
        <v>1523.25</v>
      </c>
      <c r="E29" s="15">
        <v>928.64</v>
      </c>
      <c r="F29" s="16">
        <v>1387.44</v>
      </c>
    </row>
    <row r="30" spans="1:6" x14ac:dyDescent="0.3">
      <c r="A30" s="14" t="s">
        <v>29</v>
      </c>
      <c r="B30" s="15">
        <v>36.590000000000003</v>
      </c>
      <c r="C30" s="15">
        <v>43.88</v>
      </c>
      <c r="D30" s="15">
        <v>43.64</v>
      </c>
      <c r="E30" s="15">
        <v>44.93</v>
      </c>
      <c r="F30" s="15">
        <v>9.66</v>
      </c>
    </row>
    <row r="31" spans="1:6" x14ac:dyDescent="0.3">
      <c r="A31" s="14" t="s">
        <v>30</v>
      </c>
      <c r="B31" s="15">
        <v>0</v>
      </c>
      <c r="C31" s="15">
        <v>0</v>
      </c>
      <c r="D31" s="15">
        <v>150</v>
      </c>
      <c r="E31" s="15">
        <v>100</v>
      </c>
      <c r="F31" s="15">
        <v>74.58</v>
      </c>
    </row>
    <row r="32" spans="1:6" x14ac:dyDescent="0.3">
      <c r="A32" s="14" t="s">
        <v>31</v>
      </c>
      <c r="B32" s="15">
        <v>141.49</v>
      </c>
      <c r="C32" s="15">
        <v>152.13</v>
      </c>
      <c r="D32" s="15">
        <v>129.38</v>
      </c>
      <c r="E32" s="15">
        <v>182.65</v>
      </c>
      <c r="F32" s="15">
        <v>207.95</v>
      </c>
    </row>
    <row r="33" spans="1:6" x14ac:dyDescent="0.3">
      <c r="A33" s="10" t="s">
        <v>32</v>
      </c>
      <c r="B33" s="17">
        <v>4924.87</v>
      </c>
      <c r="C33" s="17">
        <v>4224.8999999999996</v>
      </c>
      <c r="D33" s="17">
        <v>4606.49</v>
      </c>
      <c r="E33" s="17">
        <v>3545.11</v>
      </c>
      <c r="F33" s="17">
        <v>3589.1</v>
      </c>
    </row>
    <row r="34" spans="1:6" x14ac:dyDescent="0.3">
      <c r="A34" s="12" t="s">
        <v>33</v>
      </c>
      <c r="B34" s="13"/>
      <c r="C34" s="13"/>
      <c r="D34" s="13"/>
      <c r="E34" s="13"/>
      <c r="F34" s="13"/>
    </row>
    <row r="35" spans="1:6" x14ac:dyDescent="0.3">
      <c r="A35" s="14" t="s">
        <v>34</v>
      </c>
      <c r="B35" s="16">
        <v>1111.6400000000001</v>
      </c>
      <c r="C35" s="16">
        <v>1696.51</v>
      </c>
      <c r="D35" s="16">
        <v>1800.99</v>
      </c>
      <c r="E35" s="15">
        <v>833.73</v>
      </c>
      <c r="F35" s="16">
        <v>1393.25</v>
      </c>
    </row>
    <row r="36" spans="1:6" x14ac:dyDescent="0.3">
      <c r="A36" s="14" t="s">
        <v>35</v>
      </c>
      <c r="B36" s="16">
        <v>1236.51</v>
      </c>
      <c r="C36" s="16">
        <v>1181.22</v>
      </c>
      <c r="D36" s="16">
        <v>1193.26</v>
      </c>
      <c r="E36" s="16">
        <v>1367.49</v>
      </c>
      <c r="F36" s="16">
        <v>1091.49</v>
      </c>
    </row>
    <row r="37" spans="1:6" x14ac:dyDescent="0.3">
      <c r="A37" s="14" t="s">
        <v>36</v>
      </c>
      <c r="B37" s="15">
        <v>448.61</v>
      </c>
      <c r="C37" s="15">
        <v>393.33</v>
      </c>
      <c r="D37" s="15">
        <v>328.94</v>
      </c>
      <c r="E37" s="15">
        <v>331.93</v>
      </c>
      <c r="F37" s="15">
        <v>257.27</v>
      </c>
    </row>
    <row r="38" spans="1:6" x14ac:dyDescent="0.3">
      <c r="A38" s="14" t="s">
        <v>37</v>
      </c>
      <c r="B38" s="15">
        <v>312.48</v>
      </c>
      <c r="C38" s="15">
        <v>446.35</v>
      </c>
      <c r="D38" s="15">
        <v>197.98</v>
      </c>
      <c r="E38" s="15">
        <v>184.9</v>
      </c>
      <c r="F38" s="15">
        <v>211.34</v>
      </c>
    </row>
    <row r="39" spans="1:6" x14ac:dyDescent="0.3">
      <c r="A39" s="14" t="s">
        <v>38</v>
      </c>
      <c r="B39" s="15">
        <v>50</v>
      </c>
      <c r="C39" s="15">
        <v>460</v>
      </c>
      <c r="D39" s="15">
        <v>560</v>
      </c>
      <c r="E39" s="15">
        <v>698</v>
      </c>
      <c r="F39" s="15">
        <v>946.56</v>
      </c>
    </row>
    <row r="40" spans="1:6" x14ac:dyDescent="0.3">
      <c r="A40" s="14" t="s">
        <v>39</v>
      </c>
      <c r="B40" s="15">
        <v>754.44</v>
      </c>
      <c r="C40" s="15">
        <v>671.25</v>
      </c>
      <c r="D40" s="15">
        <v>665.06</v>
      </c>
      <c r="E40" s="15">
        <v>554.37</v>
      </c>
      <c r="F40" s="15">
        <v>519.77</v>
      </c>
    </row>
    <row r="41" spans="1:6" x14ac:dyDescent="0.3">
      <c r="A41" s="10" t="s">
        <v>40</v>
      </c>
      <c r="B41" s="17">
        <v>3913.68</v>
      </c>
      <c r="C41" s="17">
        <v>4848.66</v>
      </c>
      <c r="D41" s="17">
        <v>4746.2299999999996</v>
      </c>
      <c r="E41" s="17">
        <v>3970.42</v>
      </c>
      <c r="F41" s="17">
        <v>4419.68</v>
      </c>
    </row>
    <row r="42" spans="1:6" x14ac:dyDescent="0.3">
      <c r="A42" s="10" t="s">
        <v>41</v>
      </c>
      <c r="B42" s="17">
        <v>8838.5499999999993</v>
      </c>
      <c r="C42" s="17">
        <v>9073.56</v>
      </c>
      <c r="D42" s="17">
        <v>9352.7199999999993</v>
      </c>
      <c r="E42" s="17">
        <v>7515.53</v>
      </c>
      <c r="F42" s="17">
        <v>8008.78</v>
      </c>
    </row>
    <row r="43" spans="1:6" x14ac:dyDescent="0.3">
      <c r="A43" s="12" t="s">
        <v>42</v>
      </c>
      <c r="B43" s="13"/>
      <c r="C43" s="13"/>
      <c r="D43" s="13"/>
      <c r="E43" s="13"/>
      <c r="F43" s="13"/>
    </row>
    <row r="44" spans="1:6" x14ac:dyDescent="0.3">
      <c r="A44" s="12" t="s">
        <v>43</v>
      </c>
      <c r="B44" s="13"/>
      <c r="C44" s="13"/>
      <c r="D44" s="13"/>
      <c r="E44" s="13"/>
      <c r="F44" s="13"/>
    </row>
    <row r="45" spans="1:6" x14ac:dyDescent="0.3">
      <c r="A45" s="14" t="s">
        <v>44</v>
      </c>
      <c r="B45" s="15">
        <v>267.5</v>
      </c>
      <c r="C45" s="15">
        <v>423.66</v>
      </c>
      <c r="D45" s="15">
        <v>450.31</v>
      </c>
      <c r="E45" s="15">
        <v>625.21</v>
      </c>
      <c r="F45" s="15">
        <v>584.33000000000004</v>
      </c>
    </row>
    <row r="46" spans="1:6" x14ac:dyDescent="0.3">
      <c r="A46" s="12" t="s">
        <v>45</v>
      </c>
      <c r="B46" s="13"/>
      <c r="C46" s="13"/>
      <c r="D46" s="13"/>
      <c r="E46" s="13"/>
      <c r="F46" s="13"/>
    </row>
    <row r="47" spans="1:6" x14ac:dyDescent="0.3">
      <c r="A47" s="14" t="s">
        <v>46</v>
      </c>
      <c r="B47" s="15">
        <v>21.94</v>
      </c>
      <c r="C47" s="15">
        <v>21.94</v>
      </c>
      <c r="D47" s="15">
        <v>21.94</v>
      </c>
      <c r="E47" s="15">
        <v>21.94</v>
      </c>
      <c r="F47" s="15">
        <v>21.94</v>
      </c>
    </row>
    <row r="48" spans="1:6" x14ac:dyDescent="0.3">
      <c r="A48" s="12" t="s">
        <v>47</v>
      </c>
      <c r="B48" s="13"/>
      <c r="C48" s="13"/>
      <c r="D48" s="13"/>
      <c r="E48" s="13"/>
      <c r="F48" s="13"/>
    </row>
    <row r="49" spans="1:6" x14ac:dyDescent="0.3">
      <c r="A49" s="14" t="s">
        <v>48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</row>
    <row r="50" spans="1:6" x14ac:dyDescent="0.3">
      <c r="A50" s="14" t="s">
        <v>49</v>
      </c>
      <c r="B50" s="16">
        <v>1270.17</v>
      </c>
      <c r="C50" s="15">
        <v>578.25</v>
      </c>
      <c r="D50" s="16">
        <v>1028.0899999999999</v>
      </c>
      <c r="E50" s="15">
        <v>926.55</v>
      </c>
      <c r="F50" s="16">
        <v>1385.15</v>
      </c>
    </row>
    <row r="51" spans="1:6" x14ac:dyDescent="0.3">
      <c r="A51" s="12" t="s">
        <v>50</v>
      </c>
      <c r="B51" s="13"/>
      <c r="C51" s="13"/>
      <c r="D51" s="13"/>
      <c r="E51" s="13"/>
      <c r="F51" s="13"/>
    </row>
    <row r="52" spans="1:6" x14ac:dyDescent="0.3">
      <c r="A52" s="14" t="s">
        <v>51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</row>
    <row r="53" spans="1:6" x14ac:dyDescent="0.3">
      <c r="A53" s="14" t="s">
        <v>52</v>
      </c>
      <c r="B53" s="16">
        <v>1111.6400000000001</v>
      </c>
      <c r="C53" s="16">
        <v>1696.51</v>
      </c>
      <c r="D53" s="16">
        <v>1800.99</v>
      </c>
      <c r="E53" s="15">
        <v>833.73</v>
      </c>
      <c r="F53" s="16">
        <v>1393.25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D1C1C-DC42-40DC-B9D9-388288DA178B}">
  <dimension ref="A1:F39"/>
  <sheetViews>
    <sheetView topLeftCell="A7" workbookViewId="0">
      <selection activeCell="H7" sqref="H7"/>
    </sheetView>
  </sheetViews>
  <sheetFormatPr defaultRowHeight="14.4" x14ac:dyDescent="0.3"/>
  <cols>
    <col min="1" max="1" width="55.109375" bestFit="1" customWidth="1"/>
    <col min="2" max="6" width="9.109375" bestFit="1" customWidth="1"/>
  </cols>
  <sheetData>
    <row r="1" spans="1:6" x14ac:dyDescent="0.3">
      <c r="A1" s="25" t="s">
        <v>109</v>
      </c>
      <c r="B1" s="26">
        <v>45717</v>
      </c>
      <c r="C1" s="26">
        <v>45352</v>
      </c>
      <c r="D1" s="26">
        <v>44986</v>
      </c>
      <c r="E1" s="26">
        <v>44621</v>
      </c>
      <c r="F1" s="26">
        <v>44256</v>
      </c>
    </row>
    <row r="2" spans="1:6" x14ac:dyDescent="0.3">
      <c r="A2" s="12" t="s">
        <v>54</v>
      </c>
      <c r="B2" s="13"/>
      <c r="C2" s="13"/>
      <c r="D2" s="13"/>
      <c r="E2" s="13"/>
      <c r="F2" s="13"/>
    </row>
    <row r="3" spans="1:6" x14ac:dyDescent="0.3">
      <c r="A3" s="10" t="s">
        <v>55</v>
      </c>
      <c r="B3" s="17">
        <v>17535.02</v>
      </c>
      <c r="C3" s="17">
        <v>16546.21</v>
      </c>
      <c r="D3" s="17">
        <v>15984.9</v>
      </c>
      <c r="E3" s="17">
        <v>13944.67</v>
      </c>
      <c r="F3" s="17">
        <v>12883.04</v>
      </c>
    </row>
    <row r="4" spans="1:6" x14ac:dyDescent="0.3">
      <c r="A4" s="14" t="s">
        <v>56</v>
      </c>
      <c r="B4" s="15">
        <v>0</v>
      </c>
      <c r="C4" s="15">
        <v>0</v>
      </c>
      <c r="D4" s="15">
        <v>0</v>
      </c>
      <c r="E4" s="15">
        <v>0</v>
      </c>
      <c r="F4" s="15">
        <v>0</v>
      </c>
    </row>
    <row r="5" spans="1:6" x14ac:dyDescent="0.3">
      <c r="A5" s="10" t="s">
        <v>57</v>
      </c>
      <c r="B5" s="17">
        <v>17535.02</v>
      </c>
      <c r="C5" s="17">
        <v>16546.21</v>
      </c>
      <c r="D5" s="17">
        <v>15984.9</v>
      </c>
      <c r="E5" s="17">
        <v>13944.67</v>
      </c>
      <c r="F5" s="17">
        <v>12883.04</v>
      </c>
    </row>
    <row r="6" spans="1:6" x14ac:dyDescent="0.3">
      <c r="A6" s="10" t="s">
        <v>58</v>
      </c>
      <c r="B6" s="17">
        <v>17942.669999999998</v>
      </c>
      <c r="C6" s="17">
        <v>16769.27</v>
      </c>
      <c r="D6" s="17">
        <v>16300.55</v>
      </c>
      <c r="E6" s="17">
        <v>14136.26</v>
      </c>
      <c r="F6" s="17">
        <v>13136.14</v>
      </c>
    </row>
    <row r="7" spans="1:6" x14ac:dyDescent="0.3">
      <c r="A7" s="14" t="s">
        <v>59</v>
      </c>
      <c r="B7" s="15">
        <v>227.09</v>
      </c>
      <c r="C7" s="15">
        <v>214.18</v>
      </c>
      <c r="D7" s="15">
        <v>215.86</v>
      </c>
      <c r="E7" s="15">
        <v>222.83</v>
      </c>
      <c r="F7" s="15">
        <v>312.87</v>
      </c>
    </row>
    <row r="8" spans="1:6" x14ac:dyDescent="0.3">
      <c r="A8" s="10" t="s">
        <v>60</v>
      </c>
      <c r="B8" s="17">
        <v>18169.759999999998</v>
      </c>
      <c r="C8" s="17">
        <v>16983.45</v>
      </c>
      <c r="D8" s="17">
        <v>16516.41</v>
      </c>
      <c r="E8" s="17">
        <v>14359.09</v>
      </c>
      <c r="F8" s="17">
        <v>13449.01</v>
      </c>
    </row>
    <row r="9" spans="1:6" x14ac:dyDescent="0.3">
      <c r="A9" s="12" t="s">
        <v>61</v>
      </c>
      <c r="B9" s="13"/>
      <c r="C9" s="13"/>
      <c r="D9" s="13"/>
      <c r="E9" s="13"/>
      <c r="F9" s="13"/>
    </row>
    <row r="10" spans="1:6" x14ac:dyDescent="0.3">
      <c r="A10" s="14" t="s">
        <v>62</v>
      </c>
      <c r="B10" s="16">
        <v>9859.4500000000007</v>
      </c>
      <c r="C10" s="16">
        <v>8546.89</v>
      </c>
      <c r="D10" s="16">
        <v>8326.7000000000007</v>
      </c>
      <c r="E10" s="16">
        <v>7473.97</v>
      </c>
      <c r="F10" s="16">
        <v>6502.33</v>
      </c>
    </row>
    <row r="11" spans="1:6" x14ac:dyDescent="0.3">
      <c r="A11" s="14" t="s">
        <v>63</v>
      </c>
      <c r="B11" s="15">
        <v>809.35</v>
      </c>
      <c r="C11" s="15">
        <v>941.48</v>
      </c>
      <c r="D11" s="16">
        <v>1337.13</v>
      </c>
      <c r="E11" s="16">
        <v>1361.59</v>
      </c>
      <c r="F11" s="16">
        <v>1160.8900000000001</v>
      </c>
    </row>
    <row r="12" spans="1:6" x14ac:dyDescent="0.3">
      <c r="A12" s="14" t="s">
        <v>64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</row>
    <row r="13" spans="1:6" x14ac:dyDescent="0.3">
      <c r="A13" s="14" t="s">
        <v>65</v>
      </c>
      <c r="B13" s="15">
        <v>-64.75</v>
      </c>
      <c r="C13" s="15">
        <v>3.66</v>
      </c>
      <c r="D13" s="15">
        <v>-72.53</v>
      </c>
      <c r="E13" s="15">
        <v>-75.260000000000005</v>
      </c>
      <c r="F13" s="15">
        <v>-37.119999999999997</v>
      </c>
    </row>
    <row r="14" spans="1:6" x14ac:dyDescent="0.3">
      <c r="A14" s="14" t="s">
        <v>66</v>
      </c>
      <c r="B14" s="15">
        <v>704.59</v>
      </c>
      <c r="C14" s="15">
        <v>708.7</v>
      </c>
      <c r="D14" s="15">
        <v>658.38</v>
      </c>
      <c r="E14" s="15">
        <v>542.26</v>
      </c>
      <c r="F14" s="15">
        <v>527.38</v>
      </c>
    </row>
    <row r="15" spans="1:6" x14ac:dyDescent="0.3">
      <c r="A15" s="14" t="s">
        <v>67</v>
      </c>
      <c r="B15" s="15">
        <v>138.80000000000001</v>
      </c>
      <c r="C15" s="15">
        <v>164</v>
      </c>
      <c r="D15" s="15">
        <v>169.1</v>
      </c>
      <c r="E15" s="15">
        <v>144.29</v>
      </c>
      <c r="F15" s="15">
        <v>110.9</v>
      </c>
    </row>
    <row r="16" spans="1:6" x14ac:dyDescent="0.3">
      <c r="A16" s="14" t="s">
        <v>68</v>
      </c>
      <c r="B16" s="15">
        <v>313.33999999999997</v>
      </c>
      <c r="C16" s="15">
        <v>300.45999999999998</v>
      </c>
      <c r="D16" s="15">
        <v>225.91</v>
      </c>
      <c r="E16" s="15">
        <v>200.54</v>
      </c>
      <c r="F16" s="15">
        <v>197.85</v>
      </c>
    </row>
    <row r="17" spans="1:6" x14ac:dyDescent="0.3">
      <c r="A17" s="14" t="s">
        <v>69</v>
      </c>
      <c r="B17" s="16">
        <v>3446.88</v>
      </c>
      <c r="C17" s="16">
        <v>3398.7</v>
      </c>
      <c r="D17" s="16">
        <v>3219.96</v>
      </c>
      <c r="E17" s="16">
        <v>2632.19</v>
      </c>
      <c r="F17" s="16">
        <v>2473.37</v>
      </c>
    </row>
    <row r="18" spans="1:6" x14ac:dyDescent="0.3">
      <c r="A18" s="10" t="s">
        <v>70</v>
      </c>
      <c r="B18" s="17">
        <v>15207.66</v>
      </c>
      <c r="C18" s="17">
        <v>14063.89</v>
      </c>
      <c r="D18" s="17">
        <v>13864.65</v>
      </c>
      <c r="E18" s="17">
        <v>12279.58</v>
      </c>
      <c r="F18" s="17">
        <v>10935.6</v>
      </c>
    </row>
    <row r="19" spans="1:6" x14ac:dyDescent="0.3">
      <c r="A19" s="10" t="s">
        <v>71</v>
      </c>
      <c r="B19" s="17">
        <v>2962.1</v>
      </c>
      <c r="C19" s="17">
        <v>2919.56</v>
      </c>
      <c r="D19" s="17">
        <v>2651.76</v>
      </c>
      <c r="E19" s="17">
        <v>2079.5100000000002</v>
      </c>
      <c r="F19" s="17">
        <v>2513.41</v>
      </c>
    </row>
    <row r="20" spans="1:6" x14ac:dyDescent="0.3">
      <c r="A20" s="14" t="s">
        <v>72</v>
      </c>
      <c r="B20" s="15">
        <v>-24.79</v>
      </c>
      <c r="C20" s="15">
        <v>-2.9</v>
      </c>
      <c r="D20" s="15">
        <v>375.6</v>
      </c>
      <c r="E20" s="15">
        <v>-0.98</v>
      </c>
      <c r="F20" s="15">
        <v>-0.61</v>
      </c>
    </row>
    <row r="21" spans="1:6" x14ac:dyDescent="0.3">
      <c r="A21" s="10" t="s">
        <v>73</v>
      </c>
      <c r="B21" s="17">
        <v>2937.31</v>
      </c>
      <c r="C21" s="17">
        <v>2916.66</v>
      </c>
      <c r="D21" s="17">
        <v>3027.36</v>
      </c>
      <c r="E21" s="17">
        <v>2078.5300000000002</v>
      </c>
      <c r="F21" s="17">
        <v>2512.8000000000002</v>
      </c>
    </row>
    <row r="22" spans="1:6" x14ac:dyDescent="0.3">
      <c r="A22" s="12" t="s">
        <v>74</v>
      </c>
      <c r="B22" s="13"/>
      <c r="C22" s="13"/>
      <c r="D22" s="13"/>
      <c r="E22" s="13"/>
      <c r="F22" s="13"/>
    </row>
    <row r="23" spans="1:6" x14ac:dyDescent="0.3">
      <c r="A23" s="14" t="s">
        <v>75</v>
      </c>
      <c r="B23" s="15">
        <v>741.68</v>
      </c>
      <c r="C23" s="15">
        <v>765.69</v>
      </c>
      <c r="D23" s="15">
        <v>720.97</v>
      </c>
      <c r="E23" s="15">
        <v>612.24</v>
      </c>
      <c r="F23" s="15">
        <v>657.12</v>
      </c>
    </row>
    <row r="24" spans="1:6" x14ac:dyDescent="0.3">
      <c r="A24" s="14" t="s">
        <v>76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</row>
    <row r="25" spans="1:6" x14ac:dyDescent="0.3">
      <c r="A25" s="14" t="s">
        <v>77</v>
      </c>
      <c r="B25" s="15">
        <v>7.03</v>
      </c>
      <c r="C25" s="15">
        <v>13.56</v>
      </c>
      <c r="D25" s="15">
        <v>-4.5199999999999996</v>
      </c>
      <c r="E25" s="15">
        <v>-49.89</v>
      </c>
      <c r="F25" s="15">
        <v>5.9</v>
      </c>
    </row>
    <row r="26" spans="1:6" x14ac:dyDescent="0.3">
      <c r="A26" s="14" t="s">
        <v>78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</row>
    <row r="27" spans="1:6" x14ac:dyDescent="0.3">
      <c r="A27" s="10" t="s">
        <v>79</v>
      </c>
      <c r="B27" s="11">
        <v>748.71</v>
      </c>
      <c r="C27" s="11">
        <v>779.25</v>
      </c>
      <c r="D27" s="11">
        <v>716.45</v>
      </c>
      <c r="E27" s="11">
        <v>562.35</v>
      </c>
      <c r="F27" s="11">
        <v>663.02</v>
      </c>
    </row>
    <row r="28" spans="1:6" x14ac:dyDescent="0.3">
      <c r="A28" s="10" t="s">
        <v>80</v>
      </c>
      <c r="B28" s="17">
        <v>2188.6</v>
      </c>
      <c r="C28" s="17">
        <v>2137.41</v>
      </c>
      <c r="D28" s="17">
        <v>2310.91</v>
      </c>
      <c r="E28" s="17">
        <v>1516.18</v>
      </c>
      <c r="F28" s="17">
        <v>1849.78</v>
      </c>
    </row>
    <row r="29" spans="1:6" x14ac:dyDescent="0.3">
      <c r="A29" s="10" t="s">
        <v>81</v>
      </c>
      <c r="B29" s="17">
        <v>2188.6</v>
      </c>
      <c r="C29" s="17">
        <v>2137.41</v>
      </c>
      <c r="D29" s="17">
        <v>2310.91</v>
      </c>
      <c r="E29" s="17">
        <v>1516.18</v>
      </c>
      <c r="F29" s="17">
        <v>1849.78</v>
      </c>
    </row>
    <row r="30" spans="1:6" x14ac:dyDescent="0.3">
      <c r="A30" s="10" t="s">
        <v>82</v>
      </c>
      <c r="B30" s="17">
        <v>2188.6</v>
      </c>
      <c r="C30" s="17">
        <v>2137.41</v>
      </c>
      <c r="D30" s="17">
        <v>2310.91</v>
      </c>
      <c r="E30" s="17">
        <v>1516.18</v>
      </c>
      <c r="F30" s="17">
        <v>1849.78</v>
      </c>
    </row>
    <row r="31" spans="1:6" x14ac:dyDescent="0.3">
      <c r="A31" s="14" t="s">
        <v>8</v>
      </c>
      <c r="B31" s="15">
        <v>0.87</v>
      </c>
      <c r="C31" s="15">
        <v>5.59</v>
      </c>
      <c r="D31" s="15">
        <v>5.45</v>
      </c>
      <c r="E31" s="15">
        <v>8.84</v>
      </c>
      <c r="F31" s="15">
        <v>13.31</v>
      </c>
    </row>
    <row r="32" spans="1:6" x14ac:dyDescent="0.3">
      <c r="A32" s="10" t="s">
        <v>83</v>
      </c>
      <c r="B32" s="17">
        <v>2178.73</v>
      </c>
      <c r="C32" s="17">
        <v>2139.81</v>
      </c>
      <c r="D32" s="17">
        <v>2321.77</v>
      </c>
      <c r="E32" s="17">
        <v>1524.82</v>
      </c>
      <c r="F32" s="17">
        <v>1863.9</v>
      </c>
    </row>
    <row r="33" spans="1:6" x14ac:dyDescent="0.3">
      <c r="A33" s="12" t="s">
        <v>42</v>
      </c>
      <c r="B33" s="13"/>
      <c r="C33" s="13"/>
      <c r="D33" s="13"/>
      <c r="E33" s="13"/>
      <c r="F33" s="13"/>
    </row>
    <row r="34" spans="1:6" x14ac:dyDescent="0.3">
      <c r="A34" s="12" t="s">
        <v>84</v>
      </c>
      <c r="B34" s="13"/>
      <c r="C34" s="13"/>
      <c r="D34" s="13"/>
      <c r="E34" s="13"/>
      <c r="F34" s="13"/>
    </row>
    <row r="35" spans="1:6" x14ac:dyDescent="0.3">
      <c r="A35" s="14" t="s">
        <v>85</v>
      </c>
      <c r="B35" s="15">
        <v>90</v>
      </c>
      <c r="C35" s="15">
        <v>89</v>
      </c>
      <c r="D35" s="15">
        <v>96</v>
      </c>
      <c r="E35" s="15">
        <v>63</v>
      </c>
      <c r="F35" s="15">
        <v>77</v>
      </c>
    </row>
    <row r="36" spans="1:6" x14ac:dyDescent="0.3">
      <c r="A36" s="14" t="s">
        <v>86</v>
      </c>
      <c r="B36" s="15">
        <v>90</v>
      </c>
      <c r="C36" s="15">
        <v>89</v>
      </c>
      <c r="D36" s="15">
        <v>96</v>
      </c>
      <c r="E36" s="15">
        <v>63</v>
      </c>
      <c r="F36" s="15">
        <v>77</v>
      </c>
    </row>
    <row r="37" spans="1:6" x14ac:dyDescent="0.3">
      <c r="A37" s="12" t="s">
        <v>87</v>
      </c>
      <c r="B37" s="13"/>
      <c r="C37" s="13"/>
      <c r="D37" s="13"/>
      <c r="E37" s="13"/>
      <c r="F37" s="13"/>
    </row>
    <row r="38" spans="1:6" x14ac:dyDescent="0.3">
      <c r="A38" s="14" t="s">
        <v>88</v>
      </c>
      <c r="B38" s="16">
        <v>1770.38</v>
      </c>
      <c r="C38" s="16">
        <v>1734.25</v>
      </c>
      <c r="D38" s="16">
        <v>1360.91</v>
      </c>
      <c r="E38" s="16">
        <v>1794.47</v>
      </c>
      <c r="F38" s="16">
        <v>2839.66</v>
      </c>
    </row>
    <row r="39" spans="1:6" x14ac:dyDescent="0.3">
      <c r="A39" s="14" t="s">
        <v>89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67D0C-EF67-4543-BACD-15F92C21D79B}">
  <dimension ref="A1:P23"/>
  <sheetViews>
    <sheetView showGridLines="0" workbookViewId="0">
      <selection activeCell="A21" sqref="A21:G23"/>
    </sheetView>
  </sheetViews>
  <sheetFormatPr defaultRowHeight="14.4" x14ac:dyDescent="0.3"/>
  <cols>
    <col min="1" max="1" width="22.88671875" customWidth="1"/>
    <col min="2" max="2" width="20.21875" customWidth="1"/>
    <col min="3" max="7" width="9.88671875" bestFit="1" customWidth="1"/>
    <col min="10" max="10" width="21.77734375" bestFit="1" customWidth="1"/>
    <col min="11" max="11" width="20.109375" bestFit="1" customWidth="1"/>
  </cols>
  <sheetData>
    <row r="1" spans="1:16" ht="18" x14ac:dyDescent="0.35">
      <c r="A1" s="35"/>
      <c r="B1" s="52" t="s">
        <v>110</v>
      </c>
      <c r="C1" s="52"/>
      <c r="D1" s="52"/>
      <c r="E1" s="52"/>
      <c r="F1" s="36"/>
      <c r="G1" s="37"/>
      <c r="J1" s="34"/>
      <c r="K1" s="54" t="s">
        <v>142</v>
      </c>
      <c r="L1" s="54"/>
      <c r="M1" s="54"/>
      <c r="N1" s="54"/>
      <c r="O1" s="34"/>
      <c r="P1" s="34"/>
    </row>
    <row r="2" spans="1:16" ht="15.6" x14ac:dyDescent="0.3">
      <c r="A2" s="38" t="s">
        <v>117</v>
      </c>
      <c r="B2" s="39" t="s">
        <v>116</v>
      </c>
      <c r="C2" s="39" t="s">
        <v>111</v>
      </c>
      <c r="D2" s="39" t="s">
        <v>112</v>
      </c>
      <c r="E2" s="39" t="s">
        <v>113</v>
      </c>
      <c r="F2" s="39" t="s">
        <v>114</v>
      </c>
      <c r="G2" s="40" t="s">
        <v>115</v>
      </c>
      <c r="J2" s="29" t="s">
        <v>117</v>
      </c>
      <c r="K2" s="29" t="s">
        <v>116</v>
      </c>
      <c r="L2" s="29" t="s">
        <v>111</v>
      </c>
      <c r="M2" s="29" t="s">
        <v>112</v>
      </c>
      <c r="N2" s="29" t="s">
        <v>113</v>
      </c>
      <c r="O2" s="29" t="s">
        <v>114</v>
      </c>
      <c r="P2" s="29" t="s">
        <v>115</v>
      </c>
    </row>
    <row r="3" spans="1:16" x14ac:dyDescent="0.3">
      <c r="A3" s="56" t="s">
        <v>118</v>
      </c>
      <c r="B3" s="57"/>
      <c r="C3" s="62">
        <f>'P&amp;L ITC'!B5</f>
        <v>74653.320000000007</v>
      </c>
      <c r="D3" s="62">
        <f>'P&amp;L ITC'!C5</f>
        <v>70315.490000000005</v>
      </c>
      <c r="E3" s="62">
        <f>'P&amp;L ITC'!D5</f>
        <v>70245.22</v>
      </c>
      <c r="F3" s="62">
        <f>'P&amp;L ITC'!E5</f>
        <v>60081.36</v>
      </c>
      <c r="G3" s="63">
        <f>'P&amp;L ITC'!F5</f>
        <v>48952.81</v>
      </c>
      <c r="J3" s="59" t="s">
        <v>118</v>
      </c>
      <c r="K3" s="57"/>
      <c r="L3" s="60">
        <f>'P&amp;L HUL'!B5</f>
        <v>62288</v>
      </c>
      <c r="M3" s="60">
        <f>'P&amp;L HUL'!C5</f>
        <v>60966</v>
      </c>
      <c r="N3" s="60">
        <f>'P&amp;L HUL'!D5</f>
        <v>59549</v>
      </c>
      <c r="O3" s="60">
        <f>'P&amp;L HUL'!E5</f>
        <v>51548</v>
      </c>
      <c r="P3" s="60">
        <f>'P&amp;L HUL'!F5</f>
        <v>46321</v>
      </c>
    </row>
    <row r="4" spans="1:16" x14ac:dyDescent="0.3">
      <c r="A4" s="41" t="s">
        <v>119</v>
      </c>
      <c r="B4" s="57"/>
      <c r="C4" s="62">
        <f>'P&amp;L ITC'!B28</f>
        <v>19926.05</v>
      </c>
      <c r="D4" s="62">
        <f>'P&amp;L ITC'!C28</f>
        <v>20723.75</v>
      </c>
      <c r="E4" s="62">
        <f>'P&amp;L ITC'!D28</f>
        <v>19427.68</v>
      </c>
      <c r="F4" s="62">
        <f>'P&amp;L ITC'!E28</f>
        <v>15485.65</v>
      </c>
      <c r="G4" s="63">
        <f>'P&amp;L ITC'!F28</f>
        <v>13389.8</v>
      </c>
      <c r="J4" s="30" t="s">
        <v>119</v>
      </c>
      <c r="K4" s="57"/>
      <c r="L4" s="60">
        <f>'P&amp;L HUL'!B28</f>
        <v>10679</v>
      </c>
      <c r="M4" s="60">
        <f>'P&amp;L HUL'!C28</f>
        <v>10286</v>
      </c>
      <c r="N4" s="60">
        <f>'P&amp;L HUL'!D28</f>
        <v>10145</v>
      </c>
      <c r="O4" s="60">
        <f>'P&amp;L HUL'!E28</f>
        <v>8887</v>
      </c>
      <c r="P4" s="60">
        <f>'P&amp;L HUL'!F28</f>
        <v>8000</v>
      </c>
    </row>
    <row r="5" spans="1:16" x14ac:dyDescent="0.3">
      <c r="A5" s="41" t="s">
        <v>120</v>
      </c>
      <c r="B5" s="57"/>
      <c r="C5" s="62">
        <f>'P&amp;L ITC'!B21</f>
        <v>26816.52</v>
      </c>
      <c r="D5" s="62">
        <f>'P&amp;L ITC'!C21</f>
        <v>27112.27</v>
      </c>
      <c r="E5" s="62">
        <f>'P&amp;L ITC'!D21</f>
        <v>25866.080000000002</v>
      </c>
      <c r="F5" s="62">
        <f>'P&amp;L ITC'!E21</f>
        <v>20722.990000000002</v>
      </c>
      <c r="G5" s="63">
        <f>'P&amp;L ITC'!F21</f>
        <v>17945.09</v>
      </c>
      <c r="J5" s="30" t="s">
        <v>120</v>
      </c>
      <c r="K5" s="57"/>
      <c r="L5" s="60">
        <f>'P&amp;L HUL'!B21</f>
        <v>14423</v>
      </c>
      <c r="M5" s="60">
        <f>'P&amp;L HUL'!C21</f>
        <v>13930</v>
      </c>
      <c r="N5" s="60">
        <f>'P&amp;L HUL'!D21</f>
        <v>13346</v>
      </c>
      <c r="O5" s="60">
        <f>'P&amp;L HUL'!E21</f>
        <v>11874</v>
      </c>
      <c r="P5" s="60">
        <f>'P&amp;L HUL'!F21</f>
        <v>10606</v>
      </c>
    </row>
    <row r="6" spans="1:16" x14ac:dyDescent="0.3">
      <c r="A6" s="41" t="s">
        <v>121</v>
      </c>
      <c r="B6" s="57"/>
      <c r="C6" s="60">
        <f>'P&amp;L ITC'!B19+'P&amp;L ITC'!B15</f>
        <v>26861.58</v>
      </c>
      <c r="D6" s="60">
        <f>'P&amp;L ITC'!C19+'P&amp;L ITC'!C15</f>
        <v>27165.8</v>
      </c>
      <c r="E6" s="60">
        <f>'P&amp;L ITC'!D19+'P&amp;L ITC'!D15</f>
        <v>25836.41</v>
      </c>
      <c r="F6" s="60">
        <f>'P&amp;L ITC'!E19+'P&amp;L ITC'!E15</f>
        <v>20762.350000000002</v>
      </c>
      <c r="G6" s="61">
        <f>'P&amp;L ITC'!F19+'P&amp;L ITC'!F15</f>
        <v>17989.670000000002</v>
      </c>
      <c r="J6" s="30" t="s">
        <v>121</v>
      </c>
      <c r="K6" s="57"/>
      <c r="L6" s="60">
        <f>'P&amp;L HUL'!B21+'P&amp;L HUL'!B15</f>
        <v>14818</v>
      </c>
      <c r="M6" s="60">
        <f>'P&amp;L HUL'!C21+'P&amp;L HUL'!C15</f>
        <v>14264</v>
      </c>
      <c r="N6" s="60">
        <f>'P&amp;L HUL'!D21+'P&amp;L HUL'!D15</f>
        <v>13460</v>
      </c>
      <c r="O6" s="60">
        <f>'P&amp;L HUL'!E21+'P&amp;L HUL'!E15</f>
        <v>11980</v>
      </c>
      <c r="P6" s="60">
        <f>'P&amp;L HUL'!F21+'P&amp;L HUL'!F15</f>
        <v>10723</v>
      </c>
    </row>
    <row r="7" spans="1:16" x14ac:dyDescent="0.3">
      <c r="A7" s="41" t="s">
        <v>41</v>
      </c>
      <c r="B7" s="57"/>
      <c r="C7" s="60">
        <f>'BS ITC'!B42</f>
        <v>88090.68</v>
      </c>
      <c r="D7" s="60">
        <f>'BS ITC'!C42</f>
        <v>91826.16</v>
      </c>
      <c r="E7" s="60">
        <f>'BS ITC'!D42</f>
        <v>85882.98</v>
      </c>
      <c r="F7" s="60">
        <f>'BS ITC'!E42</f>
        <v>77259.55</v>
      </c>
      <c r="G7" s="61">
        <f>'BS ITC'!F42</f>
        <v>73819.3</v>
      </c>
      <c r="J7" s="30" t="s">
        <v>41</v>
      </c>
      <c r="K7" s="57"/>
      <c r="L7" s="60">
        <f>'BS  HUL'!B42</f>
        <v>78313</v>
      </c>
      <c r="M7" s="60">
        <f>'BS  HUL'!C42</f>
        <v>77076</v>
      </c>
      <c r="N7" s="60">
        <f>'BS  HUL'!D42</f>
        <v>71825</v>
      </c>
      <c r="O7" s="60">
        <f>'BS  HUL'!E42</f>
        <v>69737</v>
      </c>
      <c r="P7" s="60">
        <f>'BS  HUL'!F42</f>
        <v>68116</v>
      </c>
    </row>
    <row r="8" spans="1:16" x14ac:dyDescent="0.3">
      <c r="A8" s="41" t="s">
        <v>122</v>
      </c>
      <c r="B8" s="57"/>
      <c r="C8" s="60">
        <f>'BS ITC'!B8</f>
        <v>70030.05</v>
      </c>
      <c r="D8" s="60">
        <f>'BS ITC'!C8</f>
        <v>74507</v>
      </c>
      <c r="E8" s="60">
        <f>'BS ITC'!D8</f>
        <v>69155.259999999995</v>
      </c>
      <c r="F8" s="60">
        <f>'BS ITC'!E8</f>
        <v>62455.57</v>
      </c>
      <c r="G8" s="61">
        <f>'BS ITC'!F8</f>
        <v>60347.34</v>
      </c>
      <c r="J8" s="30" t="s">
        <v>122</v>
      </c>
      <c r="K8" s="57"/>
      <c r="L8" s="60">
        <f>'BS  HUL'!B8</f>
        <v>49153</v>
      </c>
      <c r="M8" s="60">
        <f>'BS  HUL'!C8</f>
        <v>50973</v>
      </c>
      <c r="N8" s="60">
        <f>'BS  HUL'!D8</f>
        <v>50221</v>
      </c>
      <c r="O8" s="60">
        <f>'BS  HUL'!E8</f>
        <v>48760</v>
      </c>
      <c r="P8" s="60">
        <f>'BS  HUL'!F8</f>
        <v>47434</v>
      </c>
    </row>
    <row r="9" spans="1:16" x14ac:dyDescent="0.3">
      <c r="A9" s="42"/>
      <c r="B9" s="43"/>
      <c r="C9" s="43"/>
      <c r="D9" s="43"/>
      <c r="E9" s="43"/>
      <c r="F9" s="43"/>
      <c r="G9" s="44"/>
    </row>
    <row r="10" spans="1:16" x14ac:dyDescent="0.3">
      <c r="A10" s="42"/>
      <c r="B10" s="43"/>
      <c r="C10" s="43"/>
      <c r="D10" s="43"/>
      <c r="E10" s="43"/>
      <c r="F10" s="43"/>
      <c r="G10" s="44"/>
    </row>
    <row r="11" spans="1:16" ht="18" x14ac:dyDescent="0.35">
      <c r="A11" s="45"/>
      <c r="B11" s="53" t="s">
        <v>135</v>
      </c>
      <c r="C11" s="53"/>
      <c r="D11" s="46"/>
      <c r="E11" s="46"/>
      <c r="F11" s="46"/>
      <c r="G11" s="47"/>
      <c r="J11" s="31"/>
      <c r="K11" s="55" t="s">
        <v>135</v>
      </c>
      <c r="L11" s="55"/>
      <c r="M11" s="31"/>
      <c r="N11" s="31"/>
      <c r="O11" s="31"/>
      <c r="P11" s="31"/>
    </row>
    <row r="12" spans="1:16" x14ac:dyDescent="0.3">
      <c r="A12" s="30" t="s">
        <v>123</v>
      </c>
      <c r="B12" s="57" t="s">
        <v>129</v>
      </c>
      <c r="C12" s="58">
        <f>C4/C5</f>
        <v>0.7430512982295987</v>
      </c>
      <c r="D12" s="58">
        <f t="shared" ref="D12:G12" si="0">D4/D5</f>
        <v>0.76436794115726936</v>
      </c>
      <c r="E12" s="58">
        <f t="shared" si="0"/>
        <v>0.75108713805880134</v>
      </c>
      <c r="F12" s="58">
        <f t="shared" si="0"/>
        <v>0.74726909582063195</v>
      </c>
      <c r="G12" s="58">
        <f t="shared" si="0"/>
        <v>0.74615396189152572</v>
      </c>
      <c r="J12" s="30" t="s">
        <v>123</v>
      </c>
      <c r="K12" s="1" t="s">
        <v>129</v>
      </c>
      <c r="L12" s="58">
        <f>L4/L5</f>
        <v>0.74041461554461618</v>
      </c>
      <c r="M12" s="58">
        <f t="shared" ref="M12:P12" si="1">M4/M5</f>
        <v>0.73840631730078965</v>
      </c>
      <c r="N12" s="58">
        <f t="shared" si="1"/>
        <v>0.76015285478795147</v>
      </c>
      <c r="O12" s="58">
        <f t="shared" si="1"/>
        <v>0.74844197406097357</v>
      </c>
      <c r="P12" s="58">
        <f t="shared" si="1"/>
        <v>0.75429002451442584</v>
      </c>
    </row>
    <row r="13" spans="1:16" x14ac:dyDescent="0.3">
      <c r="A13" s="30" t="s">
        <v>124</v>
      </c>
      <c r="B13" s="57" t="s">
        <v>130</v>
      </c>
      <c r="C13" s="58">
        <f>C5/C6</f>
        <v>0.99832251118512016</v>
      </c>
      <c r="D13" s="58">
        <f t="shared" ref="D13:G13" si="2">D5/D6</f>
        <v>0.99802950768981591</v>
      </c>
      <c r="E13" s="58">
        <f t="shared" si="2"/>
        <v>1.001148379360755</v>
      </c>
      <c r="F13" s="58">
        <f t="shared" si="2"/>
        <v>0.99810426083752557</v>
      </c>
      <c r="G13" s="58">
        <f t="shared" si="2"/>
        <v>0.997521911185697</v>
      </c>
      <c r="J13" s="30" t="s">
        <v>124</v>
      </c>
      <c r="K13" s="1" t="s">
        <v>130</v>
      </c>
      <c r="L13" s="58">
        <f>L5/L6</f>
        <v>0.97334323120529087</v>
      </c>
      <c r="M13" s="58">
        <f t="shared" ref="M13:P13" si="3">M5/M6</f>
        <v>0.97658440830061699</v>
      </c>
      <c r="N13" s="58">
        <f t="shared" si="3"/>
        <v>0.99153046062407135</v>
      </c>
      <c r="O13" s="58">
        <f t="shared" si="3"/>
        <v>0.99115191986644402</v>
      </c>
      <c r="P13" s="58">
        <f t="shared" si="3"/>
        <v>0.98908887438216919</v>
      </c>
    </row>
    <row r="14" spans="1:16" x14ac:dyDescent="0.3">
      <c r="A14" s="30" t="s">
        <v>125</v>
      </c>
      <c r="B14" s="57" t="s">
        <v>131</v>
      </c>
      <c r="C14" s="58">
        <f>C6/C3</f>
        <v>0.35981762097117714</v>
      </c>
      <c r="D14" s="58">
        <f t="shared" ref="D14:G14" si="4">D6/D3</f>
        <v>0.38634161548188029</v>
      </c>
      <c r="E14" s="58">
        <f t="shared" si="4"/>
        <v>0.36780310460982257</v>
      </c>
      <c r="F14" s="58">
        <f t="shared" si="4"/>
        <v>0.34557057296971977</v>
      </c>
      <c r="G14" s="58">
        <f t="shared" si="4"/>
        <v>0.36749003785482393</v>
      </c>
      <c r="J14" s="30" t="s">
        <v>125</v>
      </c>
      <c r="K14" s="1" t="s">
        <v>131</v>
      </c>
      <c r="L14" s="58">
        <f>L6/L3</f>
        <v>0.23789493963524275</v>
      </c>
      <c r="M14" s="58">
        <f t="shared" ref="M14:P14" si="5">M6/M3</f>
        <v>0.23396647311616312</v>
      </c>
      <c r="N14" s="58">
        <f t="shared" si="5"/>
        <v>0.22603234311239484</v>
      </c>
      <c r="O14" s="58">
        <f t="shared" si="5"/>
        <v>0.23240474897183208</v>
      </c>
      <c r="P14" s="58">
        <f t="shared" si="5"/>
        <v>0.23149327518835949</v>
      </c>
    </row>
    <row r="15" spans="1:16" x14ac:dyDescent="0.3">
      <c r="A15" s="30" t="s">
        <v>126</v>
      </c>
      <c r="B15" s="57" t="s">
        <v>132</v>
      </c>
      <c r="C15" s="58">
        <f>C3/C7</f>
        <v>0.84745991289884481</v>
      </c>
      <c r="D15" s="58">
        <f t="shared" ref="D15:G15" si="6">D3/D7</f>
        <v>0.76574573084619901</v>
      </c>
      <c r="E15" s="58">
        <f t="shared" si="6"/>
        <v>0.81791782260000767</v>
      </c>
      <c r="F15" s="58">
        <f t="shared" si="6"/>
        <v>0.77765609558947724</v>
      </c>
      <c r="G15" s="58">
        <f t="shared" si="6"/>
        <v>0.66314378489094306</v>
      </c>
      <c r="J15" s="30" t="s">
        <v>126</v>
      </c>
      <c r="K15" s="1" t="s">
        <v>132</v>
      </c>
      <c r="L15" s="58">
        <f>L3/L7</f>
        <v>0.79537241581857421</v>
      </c>
      <c r="M15" s="58">
        <f t="shared" ref="M15:P15" si="7">M3/M7</f>
        <v>0.7909855207846801</v>
      </c>
      <c r="N15" s="58">
        <f t="shared" si="7"/>
        <v>0.82908458057779322</v>
      </c>
      <c r="O15" s="58">
        <f t="shared" si="7"/>
        <v>0.73917719431578643</v>
      </c>
      <c r="P15" s="58">
        <f t="shared" si="7"/>
        <v>0.68003112337776739</v>
      </c>
    </row>
    <row r="16" spans="1:16" x14ac:dyDescent="0.3">
      <c r="A16" s="30" t="s">
        <v>127</v>
      </c>
      <c r="B16" s="57" t="s">
        <v>133</v>
      </c>
      <c r="C16" s="58">
        <f>C7/C8</f>
        <v>1.2578982879492444</v>
      </c>
      <c r="D16" s="58">
        <f t="shared" ref="D16:G16" si="8">D7/D8</f>
        <v>1.2324501053592281</v>
      </c>
      <c r="E16" s="58">
        <f t="shared" si="8"/>
        <v>1.241886445080244</v>
      </c>
      <c r="F16" s="58">
        <f t="shared" si="8"/>
        <v>1.2370321814371401</v>
      </c>
      <c r="G16" s="58">
        <f t="shared" si="8"/>
        <v>1.2232403284055271</v>
      </c>
      <c r="J16" s="30" t="s">
        <v>127</v>
      </c>
      <c r="K16" s="1" t="s">
        <v>133</v>
      </c>
      <c r="L16" s="58">
        <f>L7/L8</f>
        <v>1.5932496490549917</v>
      </c>
      <c r="M16" s="58">
        <f t="shared" ref="M16:P16" si="9">M7/M8</f>
        <v>1.5120946383379437</v>
      </c>
      <c r="N16" s="58">
        <f t="shared" si="9"/>
        <v>1.4301786105414069</v>
      </c>
      <c r="O16" s="58">
        <f t="shared" si="9"/>
        <v>1.4302091878589007</v>
      </c>
      <c r="P16" s="58">
        <f t="shared" si="9"/>
        <v>1.4360163595733018</v>
      </c>
    </row>
    <row r="17" spans="1:16" x14ac:dyDescent="0.3">
      <c r="A17" s="30" t="s">
        <v>128</v>
      </c>
      <c r="B17" s="57" t="s">
        <v>134</v>
      </c>
      <c r="C17" s="58">
        <f>C12*C13*C14*C15*C16</f>
        <v>0.28453571002733824</v>
      </c>
      <c r="D17" s="58">
        <f t="shared" ref="D17:G17" si="10">D12*D13*D14*D15*D16</f>
        <v>0.27814500650945551</v>
      </c>
      <c r="E17" s="58">
        <f t="shared" si="10"/>
        <v>0.28092844998341421</v>
      </c>
      <c r="F17" s="58">
        <f t="shared" si="10"/>
        <v>0.24794666032188958</v>
      </c>
      <c r="G17" s="58">
        <f t="shared" si="10"/>
        <v>0.22187887651717542</v>
      </c>
      <c r="J17" s="30" t="s">
        <v>128</v>
      </c>
      <c r="K17" s="1" t="s">
        <v>134</v>
      </c>
      <c r="L17" s="58">
        <f>L12*L13*L14*L15*L16</f>
        <v>0.21726039102394565</v>
      </c>
      <c r="M17" s="58">
        <f t="shared" ref="M17:P17" si="11">M12*M13*M14*M15*M16</f>
        <v>0.20179310615423857</v>
      </c>
      <c r="N17" s="58">
        <f t="shared" si="11"/>
        <v>0.20200712849206509</v>
      </c>
      <c r="O17" s="58">
        <f t="shared" si="11"/>
        <v>0.18226004922067268</v>
      </c>
      <c r="P17" s="58">
        <f t="shared" si="11"/>
        <v>0.16865539486444323</v>
      </c>
    </row>
    <row r="18" spans="1:16" x14ac:dyDescent="0.3">
      <c r="A18" s="1"/>
      <c r="B18" s="1"/>
      <c r="C18" s="1"/>
      <c r="D18" s="1"/>
      <c r="E18" s="1"/>
      <c r="F18" s="1"/>
      <c r="G18" s="1"/>
    </row>
    <row r="19" spans="1:16" x14ac:dyDescent="0.3">
      <c r="A19" s="42"/>
      <c r="B19" s="43"/>
      <c r="C19" s="43"/>
      <c r="D19" s="43"/>
      <c r="E19" s="43"/>
      <c r="F19" s="43"/>
      <c r="G19" s="44"/>
    </row>
    <row r="20" spans="1:16" ht="18" x14ac:dyDescent="0.35">
      <c r="A20" s="45"/>
      <c r="B20" s="53" t="s">
        <v>141</v>
      </c>
      <c r="C20" s="53"/>
      <c r="D20" s="46"/>
      <c r="E20" s="46"/>
      <c r="F20" s="46"/>
      <c r="G20" s="47"/>
      <c r="J20" s="31"/>
      <c r="K20" s="55" t="s">
        <v>141</v>
      </c>
      <c r="L20" s="55"/>
      <c r="M20" s="31"/>
      <c r="N20" s="31"/>
      <c r="O20" s="31"/>
      <c r="P20" s="31"/>
    </row>
    <row r="21" spans="1:16" x14ac:dyDescent="0.3">
      <c r="A21" s="30" t="s">
        <v>136</v>
      </c>
      <c r="B21" s="1" t="s">
        <v>138</v>
      </c>
      <c r="C21" s="58">
        <f>C4/C3</f>
        <v>0.26691445202972885</v>
      </c>
      <c r="D21" s="58">
        <f t="shared" ref="D21:G21" si="12">D4/D3</f>
        <v>0.29472524475048101</v>
      </c>
      <c r="E21" s="58">
        <f t="shared" si="12"/>
        <v>0.27656942351379921</v>
      </c>
      <c r="F21" s="58">
        <f t="shared" si="12"/>
        <v>0.25774466490106079</v>
      </c>
      <c r="G21" s="58">
        <f t="shared" si="12"/>
        <v>0.27352464546979022</v>
      </c>
      <c r="J21" s="30" t="s">
        <v>136</v>
      </c>
      <c r="K21" s="1" t="s">
        <v>138</v>
      </c>
      <c r="L21" s="58">
        <f>L4/L3</f>
        <v>0.1714455432828153</v>
      </c>
      <c r="M21" s="58">
        <f t="shared" ref="M21:P21" si="13">M4/M3</f>
        <v>0.16871698979759209</v>
      </c>
      <c r="N21" s="58">
        <f t="shared" si="13"/>
        <v>0.170363901996675</v>
      </c>
      <c r="O21" s="58">
        <f t="shared" si="13"/>
        <v>0.17240242104446341</v>
      </c>
      <c r="P21" s="58">
        <f t="shared" si="13"/>
        <v>0.17270784309492454</v>
      </c>
    </row>
    <row r="22" spans="1:16" x14ac:dyDescent="0.3">
      <c r="A22" s="30" t="s">
        <v>126</v>
      </c>
      <c r="B22" s="1" t="s">
        <v>139</v>
      </c>
      <c r="C22" s="58">
        <f>C3/C7</f>
        <v>0.84745991289884481</v>
      </c>
      <c r="D22" s="58">
        <f t="shared" ref="D22:G22" si="14">D3/D7</f>
        <v>0.76574573084619901</v>
      </c>
      <c r="E22" s="58">
        <f t="shared" si="14"/>
        <v>0.81791782260000767</v>
      </c>
      <c r="F22" s="58">
        <f t="shared" si="14"/>
        <v>0.77765609558947724</v>
      </c>
      <c r="G22" s="58">
        <f t="shared" si="14"/>
        <v>0.66314378489094306</v>
      </c>
      <c r="J22" s="30" t="s">
        <v>126</v>
      </c>
      <c r="K22" s="1" t="s">
        <v>139</v>
      </c>
      <c r="L22" s="58">
        <f>L3/L7</f>
        <v>0.79537241581857421</v>
      </c>
      <c r="M22" s="58">
        <f t="shared" ref="M22:P22" si="15">M3/M7</f>
        <v>0.7909855207846801</v>
      </c>
      <c r="N22" s="58">
        <f t="shared" si="15"/>
        <v>0.82908458057779322</v>
      </c>
      <c r="O22" s="58">
        <f t="shared" si="15"/>
        <v>0.73917719431578643</v>
      </c>
      <c r="P22" s="58">
        <f t="shared" si="15"/>
        <v>0.68003112337776739</v>
      </c>
    </row>
    <row r="23" spans="1:16" x14ac:dyDescent="0.3">
      <c r="A23" s="30" t="s">
        <v>137</v>
      </c>
      <c r="B23" s="1" t="s">
        <v>140</v>
      </c>
      <c r="C23" s="58">
        <f>C21*C22</f>
        <v>0.22619929826855692</v>
      </c>
      <c r="D23" s="58">
        <f t="shared" ref="D23:G23" si="16">D21*D22</f>
        <v>0.22568459794028195</v>
      </c>
      <c r="E23" s="58">
        <f t="shared" si="16"/>
        <v>0.226211060678146</v>
      </c>
      <c r="F23" s="58">
        <f t="shared" si="16"/>
        <v>0.20043670976597711</v>
      </c>
      <c r="G23" s="58">
        <f t="shared" si="16"/>
        <v>0.18138616865779003</v>
      </c>
      <c r="J23" s="30" t="s">
        <v>137</v>
      </c>
      <c r="K23" s="1" t="s">
        <v>140</v>
      </c>
      <c r="L23" s="58">
        <f>L21*L22</f>
        <v>0.13636305594218073</v>
      </c>
      <c r="M23" s="58">
        <f t="shared" ref="M23:P23" si="17">M21*M22</f>
        <v>0.13345269604027193</v>
      </c>
      <c r="N23" s="58">
        <f t="shared" si="17"/>
        <v>0.14124608423250956</v>
      </c>
      <c r="O23" s="58">
        <f t="shared" si="17"/>
        <v>0.12743593788089536</v>
      </c>
      <c r="P23" s="58">
        <f t="shared" si="17"/>
        <v>0.11744670855599272</v>
      </c>
    </row>
  </sheetData>
  <mergeCells count="2">
    <mergeCell ref="B1:E1"/>
    <mergeCell ref="K1:N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62520-7DC1-462C-B9AA-D3F36CB6BB8C}">
  <dimension ref="A1:P23"/>
  <sheetViews>
    <sheetView showGridLines="0" workbookViewId="0">
      <selection activeCell="S8" sqref="S8"/>
    </sheetView>
  </sheetViews>
  <sheetFormatPr defaultRowHeight="14.4" x14ac:dyDescent="0.3"/>
  <cols>
    <col min="1" max="1" width="22.33203125" customWidth="1"/>
    <col min="2" max="2" width="20.109375" bestFit="1" customWidth="1"/>
    <col min="3" max="3" width="16" customWidth="1"/>
    <col min="4" max="6" width="9.88671875" bestFit="1" customWidth="1"/>
    <col min="7" max="7" width="9.109375" bestFit="1" customWidth="1"/>
    <col min="10" max="10" width="21.77734375" bestFit="1" customWidth="1"/>
    <col min="11" max="11" width="20.109375" bestFit="1" customWidth="1"/>
    <col min="12" max="12" width="9.88671875" bestFit="1" customWidth="1"/>
    <col min="13" max="13" width="10.77734375" customWidth="1"/>
    <col min="14" max="16" width="9.88671875" bestFit="1" customWidth="1"/>
  </cols>
  <sheetData>
    <row r="1" spans="1:16" ht="18" x14ac:dyDescent="0.35">
      <c r="A1" s="35"/>
      <c r="B1" s="52" t="s">
        <v>143</v>
      </c>
      <c r="C1" s="52"/>
      <c r="D1" s="52"/>
      <c r="E1" s="52"/>
      <c r="F1" s="36"/>
      <c r="G1" s="37"/>
      <c r="J1" s="35"/>
      <c r="K1" s="52" t="s">
        <v>144</v>
      </c>
      <c r="L1" s="52"/>
      <c r="M1" s="52"/>
      <c r="N1" s="52"/>
      <c r="O1" s="36"/>
      <c r="P1" s="37"/>
    </row>
    <row r="2" spans="1:16" ht="15.6" x14ac:dyDescent="0.3">
      <c r="A2" s="38" t="s">
        <v>117</v>
      </c>
      <c r="B2" s="39" t="s">
        <v>116</v>
      </c>
      <c r="C2" s="39" t="s">
        <v>111</v>
      </c>
      <c r="D2" s="39" t="s">
        <v>112</v>
      </c>
      <c r="E2" s="39" t="s">
        <v>113</v>
      </c>
      <c r="F2" s="39" t="s">
        <v>114</v>
      </c>
      <c r="G2" s="40" t="s">
        <v>115</v>
      </c>
      <c r="J2" s="38" t="s">
        <v>117</v>
      </c>
      <c r="K2" s="39" t="s">
        <v>116</v>
      </c>
      <c r="L2" s="39" t="s">
        <v>111</v>
      </c>
      <c r="M2" s="39" t="s">
        <v>112</v>
      </c>
      <c r="N2" s="39" t="s">
        <v>113</v>
      </c>
      <c r="O2" s="39" t="s">
        <v>114</v>
      </c>
      <c r="P2" s="40" t="s">
        <v>115</v>
      </c>
    </row>
    <row r="3" spans="1:16" x14ac:dyDescent="0.3">
      <c r="A3" s="56" t="s">
        <v>118</v>
      </c>
      <c r="B3" s="57"/>
      <c r="C3" s="62">
        <f>'P&amp;L DABUR IND '!B5</f>
        <v>12400.01</v>
      </c>
      <c r="D3" s="62">
        <f>'P&amp;L DABUR IND '!C5</f>
        <v>12261.65</v>
      </c>
      <c r="E3" s="62">
        <f>'P&amp;L DABUR IND '!D5</f>
        <v>11426.51</v>
      </c>
      <c r="F3" s="62">
        <f>'P&amp;L DABUR IND '!E5</f>
        <v>10808.03</v>
      </c>
      <c r="G3" s="62">
        <f>'P&amp;L DABUR IND '!F5</f>
        <v>9492.76</v>
      </c>
      <c r="J3" s="64" t="s">
        <v>118</v>
      </c>
      <c r="K3" s="57"/>
      <c r="L3" s="62">
        <f>'P&amp;L BRITANNIA'!B5</f>
        <v>17535.02</v>
      </c>
      <c r="M3" s="62">
        <f>'P&amp;L BRITANNIA'!C5</f>
        <v>16546.21</v>
      </c>
      <c r="N3" s="62">
        <f>'P&amp;L BRITANNIA'!D5</f>
        <v>15984.9</v>
      </c>
      <c r="O3" s="62">
        <f>'P&amp;L BRITANNIA'!E5</f>
        <v>13944.67</v>
      </c>
      <c r="P3" s="62">
        <f>'P&amp;L BRITANNIA'!F5</f>
        <v>12883.04</v>
      </c>
    </row>
    <row r="4" spans="1:16" x14ac:dyDescent="0.3">
      <c r="A4" s="41" t="s">
        <v>119</v>
      </c>
      <c r="B4" s="57"/>
      <c r="C4" s="62">
        <f>'P&amp;L DABUR IND '!B28</f>
        <v>1739.87</v>
      </c>
      <c r="D4" s="62">
        <f>'P&amp;L DABUR IND '!C28</f>
        <v>1811.82</v>
      </c>
      <c r="E4" s="62">
        <f>'P&amp;L DABUR IND '!D28</f>
        <v>1702.96</v>
      </c>
      <c r="F4" s="62">
        <f>'P&amp;L DABUR IND '!E28</f>
        <v>1744.1</v>
      </c>
      <c r="G4" s="62">
        <f>'P&amp;L DABUR IND '!F28</f>
        <v>1695.96</v>
      </c>
      <c r="J4" s="41" t="s">
        <v>119</v>
      </c>
      <c r="K4" s="57"/>
      <c r="L4" s="62">
        <f>'P&amp;L BRITANNIA'!B28</f>
        <v>2188.6</v>
      </c>
      <c r="M4" s="62">
        <f>'P&amp;L BRITANNIA'!C28</f>
        <v>2137.41</v>
      </c>
      <c r="N4" s="62">
        <f>'P&amp;L BRITANNIA'!D28</f>
        <v>2310.91</v>
      </c>
      <c r="O4" s="62">
        <f>'P&amp;L BRITANNIA'!E28</f>
        <v>1516.18</v>
      </c>
      <c r="P4" s="62">
        <f>'P&amp;L BRITANNIA'!F28</f>
        <v>1849.78</v>
      </c>
    </row>
    <row r="5" spans="1:16" x14ac:dyDescent="0.3">
      <c r="A5" s="41" t="s">
        <v>120</v>
      </c>
      <c r="B5" s="57"/>
      <c r="C5" s="62">
        <f>'P&amp;L DABUR IND '!B21</f>
        <v>2257.34</v>
      </c>
      <c r="D5" s="62">
        <f>'P&amp;L DABUR IND '!C21</f>
        <v>2359.25</v>
      </c>
      <c r="E5" s="62">
        <f>'P&amp;L DABUR IND '!D21</f>
        <v>2220.31</v>
      </c>
      <c r="F5" s="62">
        <f>'P&amp;L DABUR IND '!E21</f>
        <v>2270.48</v>
      </c>
      <c r="G5" s="62">
        <f>'P&amp;L DABUR IND '!F21</f>
        <v>2057.0300000000002</v>
      </c>
      <c r="J5" s="41" t="s">
        <v>120</v>
      </c>
      <c r="K5" s="57"/>
      <c r="L5" s="62">
        <f>'P&amp;L BRITANNIA'!B21</f>
        <v>2937.31</v>
      </c>
      <c r="M5" s="62">
        <f>'P&amp;L BRITANNIA'!C21</f>
        <v>2916.66</v>
      </c>
      <c r="N5" s="62">
        <f>'P&amp;L BRITANNIA'!D21</f>
        <v>3027.36</v>
      </c>
      <c r="O5" s="62">
        <f>'P&amp;L BRITANNIA'!E21</f>
        <v>2078.5300000000002</v>
      </c>
      <c r="P5" s="62">
        <f>'P&amp;L BRITANNIA'!F21</f>
        <v>2512.8000000000002</v>
      </c>
    </row>
    <row r="6" spans="1:16" x14ac:dyDescent="0.3">
      <c r="A6" s="41" t="s">
        <v>121</v>
      </c>
      <c r="B6" s="57"/>
      <c r="C6" s="60">
        <f>'P&amp;L DABUR IND '!B19+'P&amp;L DABUR IND '!B15</f>
        <v>2420.84</v>
      </c>
      <c r="D6" s="60">
        <f>'P&amp;L DABUR IND '!C19+'P&amp;L DABUR IND '!C15</f>
        <v>2483.4299999999998</v>
      </c>
      <c r="E6" s="60">
        <f>'P&amp;L DABUR IND '!D19+'P&amp;L DABUR IND '!D15</f>
        <v>2298.5499999999997</v>
      </c>
      <c r="F6" s="60">
        <f>'P&amp;L DABUR IND '!E19+'P&amp;L DABUR IND '!E15</f>
        <v>2394.08</v>
      </c>
      <c r="G6" s="60">
        <f>'P&amp;L DABUR IND '!F19+'P&amp;L DABUR IND '!F15</f>
        <v>2087.84</v>
      </c>
      <c r="J6" s="41" t="s">
        <v>121</v>
      </c>
      <c r="K6" s="57"/>
      <c r="L6" s="60">
        <f>'P&amp;L BRITANNIA'!B21+'P&amp;L BRITANNIA'!B15</f>
        <v>3076.11</v>
      </c>
      <c r="M6" s="60">
        <f>'P&amp;L BRITANNIA'!C21+'P&amp;L BRITANNIA'!C15</f>
        <v>3080.66</v>
      </c>
      <c r="N6" s="60">
        <f>'P&amp;L BRITANNIA'!D21+'P&amp;L BRITANNIA'!D15</f>
        <v>3196.46</v>
      </c>
      <c r="O6" s="60">
        <f>'P&amp;L BRITANNIA'!E21+'P&amp;L BRITANNIA'!E15</f>
        <v>2222.8200000000002</v>
      </c>
      <c r="P6" s="60">
        <f>'P&amp;L BRITANNIA'!F21+'P&amp;L BRITANNIA'!F15</f>
        <v>2623.7000000000003</v>
      </c>
    </row>
    <row r="7" spans="1:16" x14ac:dyDescent="0.3">
      <c r="A7" s="41" t="s">
        <v>41</v>
      </c>
      <c r="B7" s="57"/>
      <c r="C7" s="60">
        <f>'BS DABUR IND'!B42</f>
        <v>16232.28</v>
      </c>
      <c r="D7" s="60">
        <f>'BS DABUR IND'!C42</f>
        <v>15122.68</v>
      </c>
      <c r="E7" s="60">
        <f>'BS DABUR IND'!D42</f>
        <v>13654.37</v>
      </c>
      <c r="F7" s="60">
        <f>'BS DABUR IND'!E42</f>
        <v>12284.53</v>
      </c>
      <c r="G7" s="60">
        <f>'BS DABUR IND'!F42</f>
        <v>10847.13</v>
      </c>
      <c r="J7" s="41" t="s">
        <v>41</v>
      </c>
      <c r="K7" s="57"/>
      <c r="L7" s="60">
        <f>'BS BRITANNIA '!B42</f>
        <v>8838.5499999999993</v>
      </c>
      <c r="M7" s="60">
        <f>'BS BRITANNIA '!C42</f>
        <v>9073.56</v>
      </c>
      <c r="N7" s="60">
        <f>'BS BRITANNIA '!D42</f>
        <v>9352.7199999999993</v>
      </c>
      <c r="O7" s="60">
        <f>'BS BRITANNIA '!E42</f>
        <v>7515.53</v>
      </c>
      <c r="P7" s="60">
        <f>'BS BRITANNIA '!F42</f>
        <v>8008.78</v>
      </c>
    </row>
    <row r="8" spans="1:16" x14ac:dyDescent="0.3">
      <c r="A8" s="41" t="s">
        <v>122</v>
      </c>
      <c r="B8" s="57"/>
      <c r="C8" s="60">
        <f>'BS DABUR IND'!B8</f>
        <v>10800.69</v>
      </c>
      <c r="D8" s="60">
        <f>'BS DABUR IND'!C8</f>
        <v>9866.2999999999993</v>
      </c>
      <c r="E8" s="60">
        <f>'BS DABUR IND'!D8</f>
        <v>8973.26</v>
      </c>
      <c r="F8" s="60">
        <f>'BS DABUR IND'!E8</f>
        <v>8381.2999999999993</v>
      </c>
      <c r="G8" s="60">
        <f>'BS DABUR IND'!F8</f>
        <v>7663.53</v>
      </c>
      <c r="J8" s="41" t="s">
        <v>122</v>
      </c>
      <c r="K8" s="57"/>
      <c r="L8" s="60">
        <f>'BS BRITANNIA '!B8</f>
        <v>4355.72</v>
      </c>
      <c r="M8" s="60">
        <f>'BS BRITANNIA '!C8</f>
        <v>3941.52</v>
      </c>
      <c r="N8" s="60">
        <f>'BS BRITANNIA '!D8</f>
        <v>3534.27</v>
      </c>
      <c r="O8" s="60">
        <f>'BS BRITANNIA '!E8</f>
        <v>2558.1</v>
      </c>
      <c r="P8" s="60">
        <f>'BS BRITANNIA '!F8</f>
        <v>3547.66</v>
      </c>
    </row>
    <row r="9" spans="1:16" x14ac:dyDescent="0.3">
      <c r="A9" s="42"/>
      <c r="B9" s="43"/>
      <c r="C9" s="43"/>
      <c r="D9" s="43"/>
      <c r="E9" s="43"/>
      <c r="F9" s="43"/>
      <c r="G9" s="44"/>
      <c r="J9" s="42"/>
      <c r="K9" s="43"/>
      <c r="L9" s="43"/>
      <c r="M9" s="43"/>
      <c r="N9" s="43"/>
      <c r="O9" s="43"/>
      <c r="P9" s="44"/>
    </row>
    <row r="10" spans="1:16" x14ac:dyDescent="0.3">
      <c r="A10" s="42"/>
      <c r="B10" s="43"/>
      <c r="C10" s="43"/>
      <c r="D10" s="43"/>
      <c r="E10" s="43"/>
      <c r="F10" s="43"/>
      <c r="G10" s="44"/>
      <c r="J10" s="42"/>
      <c r="K10" s="43"/>
      <c r="L10" s="43"/>
      <c r="M10" s="43"/>
      <c r="N10" s="43"/>
      <c r="O10" s="43"/>
      <c r="P10" s="44"/>
    </row>
    <row r="11" spans="1:16" ht="18" x14ac:dyDescent="0.35">
      <c r="A11" s="45"/>
      <c r="B11" s="50" t="s">
        <v>135</v>
      </c>
      <c r="C11" s="50"/>
      <c r="D11" s="46"/>
      <c r="E11" s="46"/>
      <c r="F11" s="46"/>
      <c r="G11" s="47"/>
      <c r="J11" s="49"/>
      <c r="K11" s="53" t="s">
        <v>135</v>
      </c>
      <c r="L11" s="53"/>
      <c r="M11" s="51"/>
      <c r="N11" s="51"/>
      <c r="O11" s="51"/>
      <c r="P11" s="48"/>
    </row>
    <row r="12" spans="1:16" x14ac:dyDescent="0.3">
      <c r="A12" s="30" t="s">
        <v>123</v>
      </c>
      <c r="B12" s="1" t="s">
        <v>129</v>
      </c>
      <c r="C12" s="58">
        <f>C4/C5</f>
        <v>0.77076116136691852</v>
      </c>
      <c r="D12" s="58">
        <f t="shared" ref="D12:G13" si="0">D4/D5</f>
        <v>0.76796439546466033</v>
      </c>
      <c r="E12" s="58">
        <f t="shared" si="0"/>
        <v>0.76699199661308559</v>
      </c>
      <c r="F12" s="58">
        <f t="shared" si="0"/>
        <v>0.76816356012825482</v>
      </c>
      <c r="G12" s="58">
        <f t="shared" si="0"/>
        <v>0.82447023135297004</v>
      </c>
      <c r="J12" s="30" t="s">
        <v>123</v>
      </c>
      <c r="K12" s="1" t="s">
        <v>129</v>
      </c>
      <c r="L12" s="58">
        <f>L4/L5</f>
        <v>0.7451035130782927</v>
      </c>
      <c r="M12" s="58">
        <f t="shared" ref="M12:P12" si="1">M4/M5</f>
        <v>0.73282796074962453</v>
      </c>
      <c r="N12" s="58">
        <f t="shared" si="1"/>
        <v>0.76334165741768401</v>
      </c>
      <c r="O12" s="58">
        <f t="shared" si="1"/>
        <v>0.7294482158063631</v>
      </c>
      <c r="P12" s="58">
        <f t="shared" si="1"/>
        <v>0.7361429481056988</v>
      </c>
    </row>
    <row r="13" spans="1:16" x14ac:dyDescent="0.3">
      <c r="A13" s="30" t="s">
        <v>124</v>
      </c>
      <c r="B13" s="1" t="s">
        <v>130</v>
      </c>
      <c r="C13" s="58">
        <f>C5/C6</f>
        <v>0.93246145965863092</v>
      </c>
      <c r="D13" s="58">
        <f t="shared" si="0"/>
        <v>0.9499965773144402</v>
      </c>
      <c r="E13" s="58">
        <f t="shared" si="0"/>
        <v>0.96596114942028677</v>
      </c>
      <c r="F13" s="58">
        <f t="shared" si="0"/>
        <v>0.94837265254293923</v>
      </c>
      <c r="G13" s="58">
        <f t="shared" si="0"/>
        <v>0.98524312207832021</v>
      </c>
      <c r="J13" s="30" t="s">
        <v>124</v>
      </c>
      <c r="K13" s="1" t="s">
        <v>130</v>
      </c>
      <c r="L13" s="58">
        <f>L5/L6</f>
        <v>0.95487807653172341</v>
      </c>
      <c r="M13" s="58">
        <f t="shared" ref="M13:P13" si="2">M5/M6</f>
        <v>0.94676465432731949</v>
      </c>
      <c r="N13" s="58">
        <f t="shared" si="2"/>
        <v>0.94709772686033933</v>
      </c>
      <c r="O13" s="58">
        <f t="shared" si="2"/>
        <v>0.93508696160732763</v>
      </c>
      <c r="P13" s="58">
        <f t="shared" si="2"/>
        <v>0.95773144795517773</v>
      </c>
    </row>
    <row r="14" spans="1:16" x14ac:dyDescent="0.3">
      <c r="A14" s="30" t="s">
        <v>125</v>
      </c>
      <c r="B14" s="1" t="s">
        <v>131</v>
      </c>
      <c r="C14" s="58">
        <f>C6/C3</f>
        <v>0.19522887481542353</v>
      </c>
      <c r="D14" s="58">
        <f t="shared" ref="D14:G14" si="3">D6/D3</f>
        <v>0.20253636337687014</v>
      </c>
      <c r="E14" s="58">
        <f t="shared" si="3"/>
        <v>0.20115940912842151</v>
      </c>
      <c r="F14" s="58">
        <f t="shared" si="3"/>
        <v>0.22150937774969165</v>
      </c>
      <c r="G14" s="58">
        <f t="shared" si="3"/>
        <v>0.21994024920044331</v>
      </c>
      <c r="J14" s="30" t="s">
        <v>125</v>
      </c>
      <c r="K14" s="1" t="s">
        <v>131</v>
      </c>
      <c r="L14" s="58">
        <f>L6/L3</f>
        <v>0.17542666047714803</v>
      </c>
      <c r="M14" s="58">
        <f t="shared" ref="M14:P14" si="4">M6/M3</f>
        <v>0.18618523516865795</v>
      </c>
      <c r="N14" s="58">
        <f t="shared" si="4"/>
        <v>0.19996746929915107</v>
      </c>
      <c r="O14" s="58">
        <f t="shared" si="4"/>
        <v>0.1594028399381269</v>
      </c>
      <c r="P14" s="58">
        <f t="shared" si="4"/>
        <v>0.20365534842707933</v>
      </c>
    </row>
    <row r="15" spans="1:16" x14ac:dyDescent="0.3">
      <c r="A15" s="30" t="s">
        <v>126</v>
      </c>
      <c r="B15" s="1" t="s">
        <v>132</v>
      </c>
      <c r="C15" s="58">
        <f>C3/C7</f>
        <v>0.76391055353899762</v>
      </c>
      <c r="D15" s="58">
        <f t="shared" ref="D15:G15" si="5">D3/D7</f>
        <v>0.81081197248106818</v>
      </c>
      <c r="E15" s="58">
        <f t="shared" si="5"/>
        <v>0.83683904859762837</v>
      </c>
      <c r="F15" s="58">
        <f t="shared" si="5"/>
        <v>0.87980818150958973</v>
      </c>
      <c r="G15" s="58">
        <f t="shared" si="5"/>
        <v>0.87514024447019634</v>
      </c>
      <c r="J15" s="30" t="s">
        <v>126</v>
      </c>
      <c r="K15" s="1" t="s">
        <v>132</v>
      </c>
      <c r="L15" s="58">
        <f>L3/L7</f>
        <v>1.9839249650677997</v>
      </c>
      <c r="M15" s="58">
        <f t="shared" ref="M15:P15" si="6">M3/M7</f>
        <v>1.8235631879879561</v>
      </c>
      <c r="N15" s="58">
        <f t="shared" si="6"/>
        <v>1.7091177753637445</v>
      </c>
      <c r="O15" s="58">
        <f t="shared" si="6"/>
        <v>1.8554473204151938</v>
      </c>
      <c r="P15" s="58">
        <f t="shared" si="6"/>
        <v>1.6086145455362741</v>
      </c>
    </row>
    <row r="16" spans="1:16" x14ac:dyDescent="0.3">
      <c r="A16" s="30" t="s">
        <v>127</v>
      </c>
      <c r="B16" s="1" t="s">
        <v>133</v>
      </c>
      <c r="C16" s="58">
        <f>C7/C8</f>
        <v>1.5028928707332587</v>
      </c>
      <c r="D16" s="58">
        <f t="shared" ref="D16:G16" si="7">D7/D8</f>
        <v>1.5327610147674409</v>
      </c>
      <c r="E16" s="58">
        <f t="shared" si="7"/>
        <v>1.5216732826196946</v>
      </c>
      <c r="F16" s="58">
        <f t="shared" si="7"/>
        <v>1.4657069905623235</v>
      </c>
      <c r="G16" s="58">
        <f t="shared" si="7"/>
        <v>1.415422135752062</v>
      </c>
      <c r="J16" s="30" t="s">
        <v>127</v>
      </c>
      <c r="K16" s="1" t="s">
        <v>133</v>
      </c>
      <c r="L16" s="58">
        <f>L7/L8</f>
        <v>2.0291823165860063</v>
      </c>
      <c r="M16" s="58">
        <f t="shared" ref="M16:P16" si="8">M7/M8</f>
        <v>2.3020459112220664</v>
      </c>
      <c r="N16" s="58">
        <f t="shared" si="8"/>
        <v>2.6462947086668533</v>
      </c>
      <c r="O16" s="58">
        <f t="shared" si="8"/>
        <v>2.9379344044407958</v>
      </c>
      <c r="P16" s="58">
        <f t="shared" si="8"/>
        <v>2.2574823968474993</v>
      </c>
    </row>
    <row r="17" spans="1:16" x14ac:dyDescent="0.3">
      <c r="A17" s="30" t="s">
        <v>128</v>
      </c>
      <c r="B17" s="1" t="s">
        <v>134</v>
      </c>
      <c r="C17" s="58">
        <f>C12*C13*C14*C15*C16</f>
        <v>0.16108878229076104</v>
      </c>
      <c r="D17" s="58">
        <f t="shared" ref="D17:G17" si="9">D12*D13*D14*D15*D16</f>
        <v>0.18363722976191688</v>
      </c>
      <c r="E17" s="58">
        <f t="shared" si="9"/>
        <v>0.1897816401174155</v>
      </c>
      <c r="F17" s="58">
        <f t="shared" si="9"/>
        <v>0.20809420972880102</v>
      </c>
      <c r="G17" s="58">
        <f t="shared" si="9"/>
        <v>0.22130271558929113</v>
      </c>
      <c r="J17" s="30" t="s">
        <v>128</v>
      </c>
      <c r="K17" s="1" t="s">
        <v>134</v>
      </c>
      <c r="L17" s="58">
        <f>L12*L13*L14*L15*L16</f>
        <v>0.50246572323289829</v>
      </c>
      <c r="M17" s="58">
        <f t="shared" ref="M17" si="10">M12*M13*M14*M15*M16</f>
        <v>0.54228064300066958</v>
      </c>
      <c r="N17" s="58">
        <f t="shared" ref="N17" si="11">N12*N13*N14*N15*N16</f>
        <v>0.65385779807428412</v>
      </c>
      <c r="O17" s="58">
        <f t="shared" ref="O17" si="12">O12*O13*O14*O15*O16</f>
        <v>0.59269770532817334</v>
      </c>
      <c r="P17" s="58">
        <f t="shared" ref="P17" si="13">P12*P13*P14*P15*P16</f>
        <v>0.52140847770079435</v>
      </c>
    </row>
    <row r="18" spans="1:16" x14ac:dyDescent="0.3">
      <c r="A18" s="42"/>
      <c r="B18" s="43"/>
      <c r="C18" s="43"/>
      <c r="D18" s="43"/>
      <c r="E18" s="43"/>
      <c r="F18" s="43"/>
      <c r="G18" s="44"/>
      <c r="J18" s="42"/>
      <c r="K18" s="43"/>
      <c r="L18" s="43"/>
      <c r="M18" s="43"/>
      <c r="N18" s="43"/>
      <c r="O18" s="43"/>
      <c r="P18" s="44"/>
    </row>
    <row r="19" spans="1:16" x14ac:dyDescent="0.3">
      <c r="A19" s="42"/>
      <c r="B19" s="43"/>
      <c r="C19" s="43"/>
      <c r="D19" s="43"/>
      <c r="E19" s="43"/>
      <c r="F19" s="43"/>
      <c r="G19" s="44"/>
      <c r="J19" s="42"/>
      <c r="K19" s="43"/>
      <c r="L19" s="43"/>
      <c r="M19" s="43"/>
      <c r="N19" s="43"/>
      <c r="O19" s="43"/>
      <c r="P19" s="44"/>
    </row>
    <row r="20" spans="1:16" ht="18" x14ac:dyDescent="0.35">
      <c r="A20" s="45"/>
      <c r="B20" s="53" t="s">
        <v>141</v>
      </c>
      <c r="C20" s="53"/>
      <c r="D20" s="46"/>
      <c r="E20" s="46"/>
      <c r="F20" s="46"/>
      <c r="G20" s="47"/>
      <c r="J20" s="45"/>
      <c r="K20" s="53" t="s">
        <v>141</v>
      </c>
      <c r="L20" s="53"/>
      <c r="M20" s="46"/>
      <c r="N20" s="46"/>
      <c r="O20" s="46"/>
      <c r="P20" s="47"/>
    </row>
    <row r="21" spans="1:16" x14ac:dyDescent="0.3">
      <c r="A21" s="30" t="s">
        <v>136</v>
      </c>
      <c r="B21" s="1" t="s">
        <v>138</v>
      </c>
      <c r="C21" s="58">
        <f>C4/C3</f>
        <v>0.14031198361936803</v>
      </c>
      <c r="D21" s="58">
        <f t="shared" ref="D21:G21" si="14">D4/D3</f>
        <v>0.14776314770035029</v>
      </c>
      <c r="E21" s="58">
        <f t="shared" si="14"/>
        <v>0.14903588234727838</v>
      </c>
      <c r="F21" s="58">
        <f t="shared" si="14"/>
        <v>0.16137075859337915</v>
      </c>
      <c r="G21" s="58">
        <f t="shared" si="14"/>
        <v>0.17865826166467919</v>
      </c>
      <c r="J21" s="30" t="s">
        <v>136</v>
      </c>
      <c r="K21" s="1" t="s">
        <v>138</v>
      </c>
      <c r="L21" s="58">
        <f>L4/L3</f>
        <v>0.12481308832268226</v>
      </c>
      <c r="M21" s="58">
        <f t="shared" ref="M21:P21" si="15">M4/M3</f>
        <v>0.12917822268664547</v>
      </c>
      <c r="N21" s="58">
        <f t="shared" si="15"/>
        <v>0.14456831134383075</v>
      </c>
      <c r="O21" s="58">
        <f t="shared" si="15"/>
        <v>0.10872828112820168</v>
      </c>
      <c r="P21" s="58">
        <f t="shared" si="15"/>
        <v>0.14358257057340501</v>
      </c>
    </row>
    <row r="22" spans="1:16" x14ac:dyDescent="0.3">
      <c r="A22" s="30" t="s">
        <v>126</v>
      </c>
      <c r="B22" s="1" t="s">
        <v>139</v>
      </c>
      <c r="C22" s="58">
        <f>C3/C7</f>
        <v>0.76391055353899762</v>
      </c>
      <c r="D22" s="58">
        <f t="shared" ref="D22:G22" si="16">D3/D7</f>
        <v>0.81081197248106818</v>
      </c>
      <c r="E22" s="58">
        <f t="shared" si="16"/>
        <v>0.83683904859762837</v>
      </c>
      <c r="F22" s="58">
        <f t="shared" si="16"/>
        <v>0.87980818150958973</v>
      </c>
      <c r="G22" s="58">
        <f t="shared" si="16"/>
        <v>0.87514024447019634</v>
      </c>
      <c r="J22" s="30" t="s">
        <v>126</v>
      </c>
      <c r="K22" s="1" t="s">
        <v>139</v>
      </c>
      <c r="L22" s="58">
        <f>L3/L7</f>
        <v>1.9839249650677997</v>
      </c>
      <c r="M22" s="58">
        <f t="shared" ref="M22:P22" si="17">M3/M7</f>
        <v>1.8235631879879561</v>
      </c>
      <c r="N22" s="58">
        <f t="shared" si="17"/>
        <v>1.7091177753637445</v>
      </c>
      <c r="O22" s="58">
        <f t="shared" si="17"/>
        <v>1.8554473204151938</v>
      </c>
      <c r="P22" s="58">
        <f t="shared" si="17"/>
        <v>1.6086145455362741</v>
      </c>
    </row>
    <row r="23" spans="1:16" x14ac:dyDescent="0.3">
      <c r="A23" s="30" t="s">
        <v>137</v>
      </c>
      <c r="B23" s="1" t="s">
        <v>140</v>
      </c>
      <c r="C23" s="58">
        <f>C21*C22</f>
        <v>0.1071858050748262</v>
      </c>
      <c r="D23" s="58">
        <f t="shared" ref="D23:G23" si="18">D21*D22</f>
        <v>0.11980812924693243</v>
      </c>
      <c r="E23" s="58">
        <f t="shared" si="18"/>
        <v>0.12471904599040452</v>
      </c>
      <c r="F23" s="58">
        <f t="shared" si="18"/>
        <v>0.14197531366686392</v>
      </c>
      <c r="G23" s="58">
        <f t="shared" si="18"/>
        <v>0.15635103478984766</v>
      </c>
      <c r="J23" s="30" t="s">
        <v>137</v>
      </c>
      <c r="K23" s="1" t="s">
        <v>140</v>
      </c>
      <c r="L23" s="58">
        <f>L21*L22</f>
        <v>0.24761980189058161</v>
      </c>
      <c r="M23" s="58">
        <f t="shared" ref="M23" si="19">M21*M22</f>
        <v>0.23556465158107734</v>
      </c>
      <c r="N23" s="58">
        <f t="shared" ref="N23" si="20">N21*N22</f>
        <v>0.24708427067206121</v>
      </c>
      <c r="O23" s="58">
        <f t="shared" ref="O23" si="21">O21*O22</f>
        <v>0.20173959787267171</v>
      </c>
      <c r="P23" s="58">
        <f t="shared" ref="P23" si="22">P21*P22</f>
        <v>0.2309690115098679</v>
      </c>
    </row>
  </sheetData>
  <mergeCells count="3">
    <mergeCell ref="B1:E1"/>
    <mergeCell ref="B11:C11"/>
    <mergeCell ref="K1:N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1EDE1-4348-4A32-9447-10EA9D53D384}">
  <dimension ref="A1:G30"/>
  <sheetViews>
    <sheetView tabSelected="1" zoomScale="72" zoomScaleNormal="72" workbookViewId="0">
      <selection activeCell="H5" sqref="H5"/>
    </sheetView>
  </sheetViews>
  <sheetFormatPr defaultRowHeight="14.4" x14ac:dyDescent="0.3"/>
  <cols>
    <col min="1" max="1" width="15.88671875" bestFit="1" customWidth="1"/>
    <col min="2" max="2" width="20.109375" bestFit="1" customWidth="1"/>
    <col min="3" max="6" width="9.5546875" bestFit="1" customWidth="1"/>
    <col min="7" max="7" width="15.33203125" bestFit="1" customWidth="1"/>
  </cols>
  <sheetData>
    <row r="1" spans="1:7" x14ac:dyDescent="0.3">
      <c r="A1" s="69" t="s">
        <v>149</v>
      </c>
      <c r="B1" s="69"/>
      <c r="C1" s="69"/>
      <c r="D1" s="69"/>
      <c r="E1" s="69"/>
      <c r="F1" s="69"/>
      <c r="G1" s="33"/>
    </row>
    <row r="2" spans="1:7" x14ac:dyDescent="0.3">
      <c r="A2" s="28"/>
      <c r="B2" s="77"/>
      <c r="C2" s="73" t="s">
        <v>128</v>
      </c>
      <c r="D2" s="73"/>
      <c r="E2" s="77"/>
      <c r="F2" s="77"/>
    </row>
    <row r="3" spans="1:7" x14ac:dyDescent="0.3">
      <c r="A3" s="66" t="s">
        <v>153</v>
      </c>
      <c r="B3" s="66">
        <v>2021</v>
      </c>
      <c r="C3" s="66">
        <v>2022</v>
      </c>
      <c r="D3" s="66">
        <v>2023</v>
      </c>
      <c r="E3" s="66">
        <v>2024</v>
      </c>
      <c r="F3" s="66">
        <v>2025</v>
      </c>
      <c r="G3" s="67" t="s">
        <v>152</v>
      </c>
    </row>
    <row r="4" spans="1:7" x14ac:dyDescent="0.3">
      <c r="A4" s="32" t="s">
        <v>145</v>
      </c>
      <c r="B4" s="27">
        <f>'ROE ROA ITC HUL'!G17</f>
        <v>0.22187887651717542</v>
      </c>
      <c r="C4" s="27">
        <f>'ROE ROA ITC HUL'!F17</f>
        <v>0.24794666032188958</v>
      </c>
      <c r="D4" s="27">
        <f>'ROE ROA ITC HUL'!E17</f>
        <v>0.28092844998341421</v>
      </c>
      <c r="E4" s="27">
        <f>'ROE ROA ITC HUL'!D17</f>
        <v>0.27814500650945551</v>
      </c>
      <c r="F4" s="27">
        <f>'ROE ROA ITC HUL'!C17</f>
        <v>0.28453571002733824</v>
      </c>
      <c r="G4" s="68">
        <f>AVERAGE(B4:F4)</f>
        <v>0.26268694067185461</v>
      </c>
    </row>
    <row r="5" spans="1:7" x14ac:dyDescent="0.3">
      <c r="A5" s="32" t="s">
        <v>146</v>
      </c>
      <c r="B5" s="27">
        <f>'ROE ROA ITC HUL'!P17</f>
        <v>0.16865539486444323</v>
      </c>
      <c r="C5" s="27">
        <f>'ROE ROA ITC HUL'!O17</f>
        <v>0.18226004922067268</v>
      </c>
      <c r="D5" s="27">
        <f>'ROE ROA ITC HUL'!N17</f>
        <v>0.20200712849206509</v>
      </c>
      <c r="E5" s="27">
        <f>'ROE ROA ITC HUL'!M17</f>
        <v>0.20179310615423857</v>
      </c>
      <c r="F5" s="27">
        <f>'ROE ROA ITC HUL'!L17</f>
        <v>0.21726039102394565</v>
      </c>
      <c r="G5" s="68">
        <f t="shared" ref="G5:G7" si="0">AVERAGE(B5:F5)</f>
        <v>0.19439521395107304</v>
      </c>
    </row>
    <row r="6" spans="1:7" x14ac:dyDescent="0.3">
      <c r="A6" s="32" t="s">
        <v>147</v>
      </c>
      <c r="B6" s="27">
        <f>'ROE ROA DABUR BRITANNIA'!G17</f>
        <v>0.22130271558929113</v>
      </c>
      <c r="C6" s="27">
        <f>'ROE ROA DABUR BRITANNIA'!F17</f>
        <v>0.20809420972880102</v>
      </c>
      <c r="D6" s="27">
        <f>'ROE ROA DABUR BRITANNIA'!E17</f>
        <v>0.1897816401174155</v>
      </c>
      <c r="E6" s="27">
        <f>'ROE ROA DABUR BRITANNIA'!D17</f>
        <v>0.18363722976191688</v>
      </c>
      <c r="F6" s="27">
        <f>'ROE ROA DABUR BRITANNIA'!C17</f>
        <v>0.16108878229076104</v>
      </c>
      <c r="G6" s="68">
        <f t="shared" si="0"/>
        <v>0.19278091549763712</v>
      </c>
    </row>
    <row r="7" spans="1:7" x14ac:dyDescent="0.3">
      <c r="A7" s="32" t="s">
        <v>148</v>
      </c>
      <c r="B7" s="27">
        <f>'ROE ROA DABUR BRITANNIA'!P17</f>
        <v>0.52140847770079435</v>
      </c>
      <c r="C7" s="27">
        <f>'ROE ROA DABUR BRITANNIA'!O17</f>
        <v>0.59269770532817334</v>
      </c>
      <c r="D7" s="27">
        <f>'ROE ROA DABUR BRITANNIA'!N17</f>
        <v>0.65385779807428412</v>
      </c>
      <c r="E7" s="27">
        <f>'ROE ROA DABUR BRITANNIA'!M17</f>
        <v>0.54228064300066958</v>
      </c>
      <c r="F7" s="27">
        <f>'ROE ROA DABUR BRITANNIA'!L17</f>
        <v>0.50246572323289829</v>
      </c>
      <c r="G7" s="68">
        <f t="shared" si="0"/>
        <v>0.56254206946736396</v>
      </c>
    </row>
    <row r="9" spans="1:7" x14ac:dyDescent="0.3">
      <c r="A9" s="70"/>
      <c r="B9" s="70"/>
      <c r="C9" s="69" t="s">
        <v>150</v>
      </c>
      <c r="D9" s="69"/>
      <c r="E9" s="70"/>
      <c r="F9" s="70"/>
      <c r="G9" s="70"/>
    </row>
    <row r="10" spans="1:7" x14ac:dyDescent="0.3">
      <c r="A10" s="71" t="s">
        <v>153</v>
      </c>
      <c r="B10" s="71">
        <v>2021</v>
      </c>
      <c r="C10" s="71">
        <v>2022</v>
      </c>
      <c r="D10" s="71">
        <v>2023</v>
      </c>
      <c r="E10" s="71">
        <v>2024</v>
      </c>
      <c r="F10" s="71">
        <v>2025</v>
      </c>
      <c r="G10" s="72"/>
    </row>
    <row r="11" spans="1:7" x14ac:dyDescent="0.3">
      <c r="A11" s="32" t="s">
        <v>145</v>
      </c>
      <c r="B11" s="27">
        <f>'ROE ROA ITC HUL'!G23</f>
        <v>0.18138616865779003</v>
      </c>
      <c r="C11" s="27">
        <f>'ROE ROA ITC HUL'!F23</f>
        <v>0.20043670976597711</v>
      </c>
      <c r="D11" s="27">
        <f>'ROE ROA ITC HUL'!E23</f>
        <v>0.226211060678146</v>
      </c>
      <c r="E11" s="27">
        <f>'ROE ROA ITC HUL'!D23</f>
        <v>0.22568459794028195</v>
      </c>
      <c r="F11" s="27">
        <f>'ROE ROA ITC HUL'!C23</f>
        <v>0.22619929826855692</v>
      </c>
      <c r="G11" s="68">
        <f>AVERAGE(B11:F11)</f>
        <v>0.21198356706215044</v>
      </c>
    </row>
    <row r="12" spans="1:7" x14ac:dyDescent="0.3">
      <c r="A12" s="32" t="s">
        <v>146</v>
      </c>
      <c r="B12" s="27">
        <f>'ROE ROA ITC HUL'!P23</f>
        <v>0.11744670855599272</v>
      </c>
      <c r="C12" s="27">
        <f>'ROE ROA ITC HUL'!O23</f>
        <v>0.12743593788089536</v>
      </c>
      <c r="D12" s="27">
        <f>'ROE ROA ITC HUL'!N23</f>
        <v>0.14124608423250956</v>
      </c>
      <c r="E12" s="27">
        <f>'ROE ROA ITC HUL'!M23</f>
        <v>0.13345269604027193</v>
      </c>
      <c r="F12" s="27">
        <f>'ROE ROA ITC HUL'!L23</f>
        <v>0.13636305594218073</v>
      </c>
      <c r="G12" s="68">
        <f t="shared" ref="G12:G14" si="1">AVERAGE(B12:F12)</f>
        <v>0.13118889653037008</v>
      </c>
    </row>
    <row r="13" spans="1:7" x14ac:dyDescent="0.3">
      <c r="A13" s="32" t="s">
        <v>147</v>
      </c>
      <c r="B13" s="27">
        <f>'ROE ROA DABUR BRITANNIA'!G23</f>
        <v>0.15635103478984766</v>
      </c>
      <c r="C13" s="27">
        <f>'ROE ROA DABUR BRITANNIA'!F23</f>
        <v>0.14197531366686392</v>
      </c>
      <c r="D13" s="27">
        <f>'ROE ROA DABUR BRITANNIA'!E23</f>
        <v>0.12471904599040452</v>
      </c>
      <c r="E13" s="27">
        <f>'ROE ROA DABUR BRITANNIA'!D23</f>
        <v>0.11980812924693243</v>
      </c>
      <c r="F13" s="27">
        <f>'ROE ROA DABUR BRITANNIA'!C23</f>
        <v>0.1071858050748262</v>
      </c>
      <c r="G13" s="68">
        <f t="shared" si="1"/>
        <v>0.13000786575377493</v>
      </c>
    </row>
    <row r="14" spans="1:7" x14ac:dyDescent="0.3">
      <c r="A14" s="32" t="s">
        <v>148</v>
      </c>
      <c r="B14" s="27">
        <f>'ROE ROA DABUR BRITANNIA'!P23</f>
        <v>0.2309690115098679</v>
      </c>
      <c r="C14" s="27">
        <f>'ROE ROA DABUR BRITANNIA'!O23</f>
        <v>0.20173959787267171</v>
      </c>
      <c r="D14" s="27">
        <f>'ROE ROA DABUR BRITANNIA'!N23</f>
        <v>0.24708427067206121</v>
      </c>
      <c r="E14" s="27">
        <f>'ROE ROA DABUR BRITANNIA'!M23</f>
        <v>0.23556465158107734</v>
      </c>
      <c r="F14" s="27">
        <f>'ROE ROA DABUR BRITANNIA'!L23</f>
        <v>0.24761980189058161</v>
      </c>
      <c r="G14" s="68">
        <f t="shared" si="1"/>
        <v>0.23259546670525194</v>
      </c>
    </row>
    <row r="16" spans="1:7" x14ac:dyDescent="0.3">
      <c r="A16" s="69" t="s">
        <v>151</v>
      </c>
      <c r="B16" s="69"/>
      <c r="C16" s="69"/>
      <c r="D16" s="69"/>
      <c r="E16" s="69"/>
      <c r="F16" s="69"/>
      <c r="G16" s="69"/>
    </row>
    <row r="17" spans="1:7" x14ac:dyDescent="0.3">
      <c r="C17" s="73" t="s">
        <v>128</v>
      </c>
      <c r="D17" s="73"/>
      <c r="E17" s="73"/>
    </row>
    <row r="18" spans="1:7" x14ac:dyDescent="0.3">
      <c r="A18" s="72"/>
      <c r="B18" s="71">
        <v>2021</v>
      </c>
      <c r="C18" s="76">
        <v>2022</v>
      </c>
      <c r="D18" s="76">
        <v>2023</v>
      </c>
      <c r="E18" s="76">
        <v>2024</v>
      </c>
      <c r="F18" s="76">
        <v>2025</v>
      </c>
      <c r="G18" s="72"/>
    </row>
    <row r="19" spans="1:7" x14ac:dyDescent="0.3">
      <c r="A19" s="32" t="str">
        <f>'ROE ROA ITC HUL'!A12</f>
        <v>Tax Burden</v>
      </c>
      <c r="B19" s="27">
        <f>'ROE ROA ITC HUL'!G12</f>
        <v>0.74615396189152572</v>
      </c>
      <c r="C19" s="27">
        <f>'ROE ROA ITC HUL'!F12</f>
        <v>0.74726909582063195</v>
      </c>
      <c r="D19" s="27">
        <f>'ROE ROA ITC HUL'!E12</f>
        <v>0.75108713805880134</v>
      </c>
      <c r="E19" s="27">
        <f>'ROE ROA ITC HUL'!D12</f>
        <v>0.76436794115726936</v>
      </c>
      <c r="F19" s="27">
        <f>'ROE ROA ITC HUL'!C12</f>
        <v>0.7430512982295987</v>
      </c>
      <c r="G19" s="68">
        <f>AVERAGE(B19:F19)</f>
        <v>0.75038588703156539</v>
      </c>
    </row>
    <row r="20" spans="1:7" x14ac:dyDescent="0.3">
      <c r="A20" s="32" t="str">
        <f>'ROE ROA ITC HUL'!A13</f>
        <v>Interest Burden</v>
      </c>
      <c r="B20" s="27">
        <f>'ROE ROA ITC HUL'!G13</f>
        <v>0.997521911185697</v>
      </c>
      <c r="C20" s="27">
        <f>'ROE ROA ITC HUL'!F13</f>
        <v>0.99810426083752557</v>
      </c>
      <c r="D20" s="27">
        <f>'ROE ROA ITC HUL'!E13</f>
        <v>1.001148379360755</v>
      </c>
      <c r="E20" s="27">
        <f>'ROE ROA ITC HUL'!D13</f>
        <v>0.99802950768981591</v>
      </c>
      <c r="F20" s="27">
        <f>'ROE ROA ITC HUL'!C13</f>
        <v>0.99832251118512016</v>
      </c>
      <c r="G20" s="68">
        <f t="shared" ref="G20:G24" si="2">AVERAGE(B20:F20)</f>
        <v>0.99862531405178268</v>
      </c>
    </row>
    <row r="21" spans="1:7" x14ac:dyDescent="0.3">
      <c r="A21" s="32" t="str">
        <f>'ROE ROA ITC HUL'!A14</f>
        <v>Operating Margin</v>
      </c>
      <c r="B21" s="27">
        <f>'ROE ROA ITC HUL'!G14</f>
        <v>0.36749003785482393</v>
      </c>
      <c r="C21" s="27">
        <f>'ROE ROA ITC HUL'!F14</f>
        <v>0.34557057296971977</v>
      </c>
      <c r="D21" s="27">
        <f>'ROE ROA ITC HUL'!E14</f>
        <v>0.36780310460982257</v>
      </c>
      <c r="E21" s="27">
        <f>'ROE ROA ITC HUL'!D14</f>
        <v>0.38634161548188029</v>
      </c>
      <c r="F21" s="27">
        <f>'ROE ROA ITC HUL'!C14</f>
        <v>0.35981762097117714</v>
      </c>
      <c r="G21" s="68">
        <f t="shared" si="2"/>
        <v>0.36540459037748479</v>
      </c>
    </row>
    <row r="22" spans="1:7" x14ac:dyDescent="0.3">
      <c r="A22" s="32" t="str">
        <f>'ROE ROA ITC HUL'!A15</f>
        <v>Asset Turnover</v>
      </c>
      <c r="B22" s="65">
        <f>'ROE ROA ITC HUL'!G15</f>
        <v>0.66314378489094306</v>
      </c>
      <c r="C22" s="65">
        <f>'ROE ROA ITC HUL'!F15</f>
        <v>0.77765609558947724</v>
      </c>
      <c r="D22" s="65">
        <f>'ROE ROA ITC HUL'!E15</f>
        <v>0.81791782260000767</v>
      </c>
      <c r="E22" s="65">
        <f>'ROE ROA ITC HUL'!D15</f>
        <v>0.76574573084619901</v>
      </c>
      <c r="F22" s="65">
        <f>'ROE ROA ITC HUL'!C15</f>
        <v>0.84745991289884481</v>
      </c>
      <c r="G22" s="68">
        <f t="shared" si="2"/>
        <v>0.77438466936509431</v>
      </c>
    </row>
    <row r="23" spans="1:7" x14ac:dyDescent="0.3">
      <c r="A23" s="32" t="str">
        <f>'ROE ROA ITC HUL'!A16</f>
        <v>Equity Multiplier</v>
      </c>
      <c r="B23" s="65">
        <f>'ROE ROA ITC HUL'!G16</f>
        <v>1.2232403284055271</v>
      </c>
      <c r="C23" s="65">
        <f>'ROE ROA ITC HUL'!F16</f>
        <v>1.2370321814371401</v>
      </c>
      <c r="D23" s="65">
        <f>'ROE ROA ITC HUL'!E16</f>
        <v>1.241886445080244</v>
      </c>
      <c r="E23" s="65">
        <f>'ROE ROA ITC HUL'!D16</f>
        <v>1.2324501053592281</v>
      </c>
      <c r="F23" s="65">
        <f>'ROE ROA ITC HUL'!C16</f>
        <v>1.2578982879492444</v>
      </c>
      <c r="G23" s="68">
        <f t="shared" si="2"/>
        <v>1.2385014696462768</v>
      </c>
    </row>
    <row r="24" spans="1:7" x14ac:dyDescent="0.3">
      <c r="A24" s="32" t="str">
        <f>'ROE ROA ITC HUL'!A17</f>
        <v>ROE</v>
      </c>
      <c r="B24" s="27">
        <f>'ROE ROA ITC HUL'!G17</f>
        <v>0.22187887651717542</v>
      </c>
      <c r="C24" s="27">
        <f>'ROE ROA ITC HUL'!F17</f>
        <v>0.24794666032188958</v>
      </c>
      <c r="D24" s="27">
        <f>'ROE ROA ITC HUL'!E17</f>
        <v>0.28092844998341421</v>
      </c>
      <c r="E24" s="27">
        <f>'ROE ROA ITC HUL'!D17</f>
        <v>0.27814500650945551</v>
      </c>
      <c r="F24" s="27">
        <f>'ROE ROA ITC HUL'!C17</f>
        <v>0.28453571002733824</v>
      </c>
      <c r="G24" s="68">
        <f t="shared" si="2"/>
        <v>0.26268694067185461</v>
      </c>
    </row>
    <row r="26" spans="1:7" x14ac:dyDescent="0.3">
      <c r="A26" s="74"/>
      <c r="B26" s="74"/>
      <c r="C26" s="74"/>
      <c r="D26" s="74" t="s">
        <v>150</v>
      </c>
      <c r="E26" s="74"/>
      <c r="F26" s="74"/>
      <c r="G26" s="74"/>
    </row>
    <row r="27" spans="1:7" x14ac:dyDescent="0.3">
      <c r="A27" s="72"/>
      <c r="B27" s="71">
        <v>2021</v>
      </c>
      <c r="C27" s="71">
        <v>2022</v>
      </c>
      <c r="D27" s="71">
        <v>2023</v>
      </c>
      <c r="E27" s="75">
        <v>2024</v>
      </c>
      <c r="F27" s="71">
        <v>2025</v>
      </c>
      <c r="G27" s="72"/>
    </row>
    <row r="28" spans="1:7" x14ac:dyDescent="0.3">
      <c r="A28" s="32" t="str">
        <f>'ROE ROA ITC HUL'!A21</f>
        <v>Net Profit Margin</v>
      </c>
      <c r="B28" s="27">
        <f>'ROE ROA ITC HUL'!G21</f>
        <v>0.27352464546979022</v>
      </c>
      <c r="C28" s="27">
        <f>'ROE ROA ITC HUL'!F21</f>
        <v>0.25774466490106079</v>
      </c>
      <c r="D28" s="27">
        <f>'ROE ROA ITC HUL'!E21</f>
        <v>0.27656942351379921</v>
      </c>
      <c r="E28" s="27">
        <f>'ROE ROA ITC HUL'!D21</f>
        <v>0.29472524475048101</v>
      </c>
      <c r="F28" s="27">
        <f>'ROE ROA ITC HUL'!C21</f>
        <v>0.26691445202972885</v>
      </c>
      <c r="G28" s="68">
        <f>AVERAGE(B28:F28)</f>
        <v>0.27389568613297199</v>
      </c>
    </row>
    <row r="29" spans="1:7" x14ac:dyDescent="0.3">
      <c r="A29" s="32" t="str">
        <f>'ROE ROA ITC HUL'!A22</f>
        <v>Asset Turnover</v>
      </c>
      <c r="B29" s="27">
        <f>'ROE ROA ITC HUL'!G22</f>
        <v>0.66314378489094306</v>
      </c>
      <c r="C29" s="27">
        <f>'ROE ROA ITC HUL'!F22</f>
        <v>0.77765609558947724</v>
      </c>
      <c r="D29" s="27">
        <f>'ROE ROA ITC HUL'!E22</f>
        <v>0.81791782260000767</v>
      </c>
      <c r="E29" s="27">
        <f>'ROE ROA ITC HUL'!D22</f>
        <v>0.76574573084619901</v>
      </c>
      <c r="F29" s="27">
        <f>'ROE ROA ITC HUL'!C22</f>
        <v>0.84745991289884481</v>
      </c>
      <c r="G29" s="68">
        <f t="shared" ref="G29:G30" si="3">AVERAGE(B29:F29)</f>
        <v>0.77438466936509431</v>
      </c>
    </row>
    <row r="30" spans="1:7" x14ac:dyDescent="0.3">
      <c r="A30" s="32" t="str">
        <f>'ROE ROA ITC HUL'!A23</f>
        <v>ROA(DuPont)</v>
      </c>
      <c r="B30" s="27">
        <f>'ROE ROA ITC HUL'!G23</f>
        <v>0.18138616865779003</v>
      </c>
      <c r="C30" s="27">
        <f>'ROE ROA ITC HUL'!F23</f>
        <v>0.20043670976597711</v>
      </c>
      <c r="D30" s="27">
        <f>'ROE ROA ITC HUL'!E23</f>
        <v>0.226211060678146</v>
      </c>
      <c r="E30" s="27">
        <f>'ROE ROA ITC HUL'!D23</f>
        <v>0.22568459794028195</v>
      </c>
      <c r="F30" s="27">
        <f>'ROE ROA ITC HUL'!C23</f>
        <v>0.22619929826855692</v>
      </c>
      <c r="G30" s="68">
        <f t="shared" si="3"/>
        <v>0.21198356706215044</v>
      </c>
    </row>
  </sheetData>
  <sortState xmlns:xlrd2="http://schemas.microsoft.com/office/spreadsheetml/2017/richdata2" columnSort="1" ref="B10:F30">
    <sortCondition ref="B10:F10"/>
  </sortState>
  <mergeCells count="5">
    <mergeCell ref="C17:E17"/>
    <mergeCell ref="A1:F1"/>
    <mergeCell ref="C2:D2"/>
    <mergeCell ref="C9:D9"/>
    <mergeCell ref="A16:G16"/>
  </mergeCells>
  <phoneticPr fontId="14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C3E72-77BC-4667-A7CE-3E7B0E0DA336}">
  <dimension ref="A1"/>
  <sheetViews>
    <sheetView topLeftCell="A7" workbookViewId="0">
      <selection activeCell="O18" sqref="O1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BS ITC</vt:lpstr>
      <vt:lpstr>P&amp;L ITC</vt:lpstr>
      <vt:lpstr>BS  HUL</vt:lpstr>
      <vt:lpstr>P&amp;L HUL</vt:lpstr>
      <vt:lpstr>BS DABUR IND</vt:lpstr>
      <vt:lpstr>P&amp;L DABUR IND </vt:lpstr>
      <vt:lpstr>BS BRITANNIA </vt:lpstr>
      <vt:lpstr>P&amp;L BRITANNIA</vt:lpstr>
      <vt:lpstr>ROE ROA ITC HUL</vt:lpstr>
      <vt:lpstr>ROE ROA DABUR BRITANNIA</vt:lpstr>
      <vt:lpstr>Comparision</vt:lpstr>
      <vt:lpstr>Interpretation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Eshan Yadav</dc:creator>
  <cp:lastModifiedBy>Eshan Yadav</cp:lastModifiedBy>
  <dcterms:created xsi:type="dcterms:W3CDTF">2026-03-18T10:36:59Z</dcterms:created>
  <dcterms:modified xsi:type="dcterms:W3CDTF">2026-03-19T17:44:57Z</dcterms:modified>
</cp:coreProperties>
</file>